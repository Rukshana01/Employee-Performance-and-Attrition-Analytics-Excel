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ownloads\capstone projects\"/>
    </mc:Choice>
  </mc:AlternateContent>
  <xr:revisionPtr revIDLastSave="0" documentId="8_{F0DCA04A-11C0-49C3-B315-8698820CD008}" xr6:coauthVersionLast="47" xr6:coauthVersionMax="47" xr10:uidLastSave="{00000000-0000-0000-0000-000000000000}"/>
  <bookViews>
    <workbookView xWindow="-108" yWindow="-108" windowWidth="23256" windowHeight="12456" xr2:uid="{00000000-000D-0000-FFFF-FFFF00000000}"/>
  </bookViews>
  <sheets>
    <sheet name="HR_Records" sheetId="1" r:id="rId1"/>
    <sheet name="Pivot Tables" sheetId="5" r:id="rId2"/>
    <sheet name="HR Dashboard" sheetId="2" r:id="rId3"/>
  </sheets>
  <definedNames>
    <definedName name="_xlnm._FilterDatabase" localSheetId="0" hidden="1">HR_Records!$A$1:$F$101</definedName>
    <definedName name="_xlcn.WorksheetConnection_HR_RecordsA1G1011" hidden="1">HR_Records!$A$1:$G$101</definedName>
    <definedName name="_xlcn.WorksheetConnection_HR_RecordsA1G1061" hidden="1">HR_Records!$A$1:$G$106</definedName>
    <definedName name="_xlcn.WorksheetConnection_HR_RecordsA1J1011" hidden="1">HR_Records!$A$1:$J$101</definedName>
    <definedName name="_xlcn.WorksheetConnection_HR_RecordsF1F1011" hidden="1">HR_Records!$F$1:$F$101</definedName>
    <definedName name="Slicer_AttritionStatus">#N/A</definedName>
    <definedName name="Slicer_Department">#N/A</definedName>
    <definedName name="Slicer_Gender">#N/A</definedName>
  </definedNames>
  <calcPr calcId="191029"/>
  <pivotCaches>
    <pivotCache cacheId="290" r:id="rId4"/>
    <pivotCache cacheId="291" r:id="rId5"/>
    <pivotCache cacheId="292" r:id="rId6"/>
    <pivotCache cacheId="293" r:id="rId7"/>
    <pivotCache cacheId="296" r:id="rId8"/>
  </pivotCaches>
  <extLst>
    <ext xmlns:x14="http://schemas.microsoft.com/office/spreadsheetml/2009/9/main" uri="{876F7934-8845-4945-9796-88D515C7AA90}">
      <x14:pivotCaches>
        <pivotCache cacheId="10"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2" name="Range 2" connection="WorksheetConnection_HR_Records!$A$1:$J$101"/>
          <x15:modelTable id="Range 1" name="Range 1" connection="WorksheetConnection_HR_Records!$A$1:$G$106"/>
          <x15:modelTable id="Range" name="Range" connection="WorksheetConnection_HR_Records!$A$1:$G$101"/>
          <x15:modelTable id="Range 3" name="Range 3" connection="WorksheetConnection_HR_Records!$F$1:$F$1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6" i="1" l="1"/>
  <c r="F10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J2" i="1"/>
  <c r="I2" i="1"/>
  <c r="H2" i="1"/>
  <c r="B106" i="1"/>
  <c r="B105" i="1"/>
  <c r="B10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8A8F23-3C25-4660-BF25-E4BFF9455B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F1054C-E5B0-441B-8789-0CB88243967B}" name="WorksheetConnection_HR_Records!$A$1:$G$101" type="102" refreshedVersion="8" minRefreshableVersion="5">
    <extLst>
      <ext xmlns:x15="http://schemas.microsoft.com/office/spreadsheetml/2010/11/main" uri="{DE250136-89BD-433C-8126-D09CA5730AF9}">
        <x15:connection id="Range" autoDelete="1">
          <x15:rangePr sourceName="_xlcn.WorksheetConnection_HR_RecordsA1G1011"/>
        </x15:connection>
      </ext>
    </extLst>
  </connection>
  <connection id="3" xr16:uid="{F33F46CC-4D2D-4612-993F-643A5F230CBE}" name="WorksheetConnection_HR_Records!$A$1:$G$106" type="102" refreshedVersion="8" minRefreshableVersion="5">
    <extLst>
      <ext xmlns:x15="http://schemas.microsoft.com/office/spreadsheetml/2010/11/main" uri="{DE250136-89BD-433C-8126-D09CA5730AF9}">
        <x15:connection id="Range 1" autoDelete="1">
          <x15:rangePr sourceName="_xlcn.WorksheetConnection_HR_RecordsA1G1061"/>
        </x15:connection>
      </ext>
    </extLst>
  </connection>
  <connection id="4" xr16:uid="{498A596D-E312-4148-9F12-FA959098AA46}" name="WorksheetConnection_HR_Records!$A$1:$J$101" type="102" refreshedVersion="8" minRefreshableVersion="5">
    <extLst>
      <ext xmlns:x15="http://schemas.microsoft.com/office/spreadsheetml/2010/11/main" uri="{DE250136-89BD-433C-8126-D09CA5730AF9}">
        <x15:connection id="Range 2" autoDelete="1">
          <x15:rangePr sourceName="_xlcn.WorksheetConnection_HR_RecordsA1J1011"/>
        </x15:connection>
      </ext>
    </extLst>
  </connection>
  <connection id="5" xr16:uid="{AB2FD70E-12BC-457D-87EB-37D8941E3C5B}" name="WorksheetConnection_HR_Records!$F$1:$F$101" type="102" refreshedVersion="8" minRefreshableVersion="5">
    <extLst>
      <ext xmlns:x15="http://schemas.microsoft.com/office/spreadsheetml/2010/11/main" uri="{DE250136-89BD-433C-8126-D09CA5730AF9}">
        <x15:connection id="Range 3" autoDelete="1">
          <x15:rangePr sourceName="_xlcn.WorksheetConnection_HR_RecordsF1F1011"/>
        </x15:connection>
      </ext>
    </extLst>
  </connection>
</connections>
</file>

<file path=xl/sharedStrings.xml><?xml version="1.0" encoding="utf-8"?>
<sst xmlns="http://schemas.openxmlformats.org/spreadsheetml/2006/main" count="465" uniqueCount="140">
  <si>
    <t>EmployeeID</t>
  </si>
  <si>
    <t>Age</t>
  </si>
  <si>
    <t>Gender</t>
  </si>
  <si>
    <t>Department</t>
  </si>
  <si>
    <t>Salary</t>
  </si>
  <si>
    <t>AttritionStatus</t>
  </si>
  <si>
    <t>EMP001</t>
  </si>
  <si>
    <t>Male</t>
  </si>
  <si>
    <t>Operations</t>
  </si>
  <si>
    <t>No</t>
  </si>
  <si>
    <t>EMP002</t>
  </si>
  <si>
    <t>Female</t>
  </si>
  <si>
    <t>HR</t>
  </si>
  <si>
    <t>EMP003</t>
  </si>
  <si>
    <t>Sales</t>
  </si>
  <si>
    <t>EMP004</t>
  </si>
  <si>
    <t>EMP005</t>
  </si>
  <si>
    <t>EMP006</t>
  </si>
  <si>
    <t>Marketing</t>
  </si>
  <si>
    <t>EMP007</t>
  </si>
  <si>
    <t>EMP008</t>
  </si>
  <si>
    <t>EMP009</t>
  </si>
  <si>
    <t>Yes</t>
  </si>
  <si>
    <t>EMP010</t>
  </si>
  <si>
    <t>EMP011</t>
  </si>
  <si>
    <t>EMP012</t>
  </si>
  <si>
    <t>EMP013</t>
  </si>
  <si>
    <t>Finance</t>
  </si>
  <si>
    <t>EMP014</t>
  </si>
  <si>
    <t>EMP015</t>
  </si>
  <si>
    <t>IT</t>
  </si>
  <si>
    <t>EMP016</t>
  </si>
  <si>
    <t>EMP017</t>
  </si>
  <si>
    <t>EMP018</t>
  </si>
  <si>
    <t>EMP019</t>
  </si>
  <si>
    <t>EMP020</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</si>
  <si>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</si>
  <si>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</si>
  <si>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</si>
  <si>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</si>
  <si>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</si>
  <si>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</si>
  <si>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</si>
  <si>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</si>
  <si>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</si>
  <si>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</si>
  <si>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</si>
  <si>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</si>
  <si>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</si>
  <si>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</si>
  <si>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</si>
  <si>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</si>
  <si>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</si>
  <si>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</si>
  <si>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</si>
  <si>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</si>
  <si>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</si>
  <si>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</si>
  <si>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</si>
  <si>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</si>
  <si>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</si>
  <si>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</si>
  <si>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</si>
  <si>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</si>
  <si>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</si>
  <si>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</si>
  <si>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</si>
  <si>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</si>
  <si>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</si>
  <si>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</si>
  <si>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</si>
  <si>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</si>
  <si>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</si>
  <si>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</si>
  <si>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</si>
  <si>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</si>
  <si>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</si>
  <si>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</si>
  <si>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</si>
  <si>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</si>
  <si>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</si>
  <si>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</si>
  <si>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</si>
  <si>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</si>
  <si>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</si>
  <si>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</si>
  <si>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</si>
  <si>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</si>
  <si>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</si>
  <si>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</si>
  <si>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</si>
  <si>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</si>
  <si>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</si>
  <si>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</si>
  <si>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</si>
  <si>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</si>
  <si>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</si>
  <si>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</si>
  <si>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</si>
  <si>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</si>
  <si>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</si>
  <si>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</si>
  <si>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</si>
  <si>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EMP088</t>
  </si>
  <si>
    <t>EMP089</t>
  </si>
  <si>
    <t>EMP090</t>
  </si>
  <si>
    <t>EMP091</t>
  </si>
  <si>
    <t>EMP092</t>
  </si>
  <si>
    <t>EMP093</t>
  </si>
  <si>
    <t>EMP094</t>
  </si>
  <si>
    <t>EMP095</t>
  </si>
  <si>
    <t>EMP096</t>
  </si>
  <si>
    <t>EMP097</t>
  </si>
  <si>
    <t>EMP098</t>
  </si>
  <si>
    <t>EMP099</t>
  </si>
  <si>
    <t>EMP100</t>
  </si>
  <si>
    <t>Count of EmployeeID</t>
  </si>
  <si>
    <t>Column Labels</t>
  </si>
  <si>
    <t>Row Labels</t>
  </si>
  <si>
    <t>Grand Total</t>
  </si>
  <si>
    <t>Attrition Analysis</t>
  </si>
  <si>
    <t>Gender-wise Attrition</t>
  </si>
  <si>
    <t>22-30</t>
  </si>
  <si>
    <t>31-40</t>
  </si>
  <si>
    <t>41-50</t>
  </si>
  <si>
    <t>51-60</t>
  </si>
  <si>
    <t>Age Distribution</t>
  </si>
  <si>
    <t>85000+E2:E102</t>
  </si>
  <si>
    <t>Average Salary</t>
  </si>
  <si>
    <t>Max Salary</t>
  </si>
  <si>
    <t>Min Salary</t>
  </si>
  <si>
    <t>Sum of Average Salary</t>
  </si>
  <si>
    <t>Sum of Max Salary</t>
  </si>
  <si>
    <t>Sum of Min Salary</t>
  </si>
  <si>
    <t>Salary Distribution</t>
  </si>
  <si>
    <t>COUNT</t>
  </si>
  <si>
    <t>Attrition Rate</t>
  </si>
  <si>
    <t>Count of AttritionStatus</t>
  </si>
  <si>
    <t>Attriyion Status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</si>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</sst>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0" borderId="0" xfId="0" applyFont="1"/>
    <xf numFmtId="1" fontId="0" fillId="0" borderId="0" xfId="0" applyNumberFormat="1"/>
    <xf numFmtId="0" fontId="0" fillId="0" borderId="0" xfId="0" applyNumberFormat="1"/>
    <xf numFmtId="0" fontId="1" fillId="0" borderId="0" xfId="0" applyFont="1" applyFill="1"/>
    <xf numFmtId="0" fontId="0" fillId="2" borderId="0" xfId="0" applyFill="1"/>
    <xf numFmtId="0" fontId="1" fillId="2" borderId="0" xfId="0" applyFont="1" applyFill="1"/>
  </cellXfs>
  <cellStyles count="1">
    <cellStyle name="Normal" xfId="0" builtinId="0"/>
  </cellStyles>
  <dxfs count="7">
    <dxf>
      <fill>
        <patternFill patternType="solid">
          <fgColor indexed="64"/>
          <bgColor theme="2" tint="-0.499984740745262"/>
        </patternFill>
      </fill>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sz="1200">
                <a:solidFill>
                  <a:schemeClr val="bg1"/>
                </a:solidFill>
                <a:latin typeface="Berlin Sans FB Demi" panose="020E0802020502020306" pitchFamily="34" charset="0"/>
              </a:rPr>
              <a:t>DEPARTMENT</a:t>
            </a:r>
            <a:r>
              <a:rPr lang="en-IN" sz="1200" baseline="0">
                <a:solidFill>
                  <a:schemeClr val="bg1"/>
                </a:solidFill>
                <a:latin typeface="Berlin Sans FB Demi" panose="020E0802020502020306" pitchFamily="34" charset="0"/>
              </a:rPr>
              <a:t> WISE ATTRITION</a:t>
            </a:r>
            <a:endParaRPr lang="en-IN" sz="1200">
              <a:solidFill>
                <a:schemeClr val="bg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s>
    <c:plotArea>
      <c:layout/>
      <c:barChart>
        <c:barDir val="col"/>
        <c:grouping val="clustered"/>
        <c:varyColors val="0"/>
        <c:ser>
          <c:idx val="0"/>
          <c:order val="0"/>
          <c:tx>
            <c:v>Series1</c:v>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numLit>
              <c:formatCode>General</c:formatCode>
              <c:ptCount val="6"/>
              <c:pt idx="0">
                <c:v>1</c:v>
              </c:pt>
              <c:pt idx="1">
                <c:v>2</c:v>
              </c:pt>
              <c:pt idx="2">
                <c:v>3</c:v>
              </c:pt>
              <c:pt idx="3">
                <c:v>4</c:v>
              </c:pt>
              <c:pt idx="4">
                <c:v>5</c:v>
              </c:pt>
              <c:pt idx="5">
                <c:v>6</c:v>
              </c:pt>
            </c:numLit>
          </c:cat>
          <c:val>
            <c:numLit>
              <c:formatCode>General</c:formatCode>
              <c:ptCount val="6"/>
              <c:pt idx="0">
                <c:v>23</c:v>
              </c:pt>
              <c:pt idx="1">
                <c:v>20</c:v>
              </c:pt>
              <c:pt idx="2">
                <c:v>16</c:v>
              </c:pt>
              <c:pt idx="3">
                <c:v>10</c:v>
              </c:pt>
              <c:pt idx="4">
                <c:v>9</c:v>
              </c:pt>
              <c:pt idx="5">
                <c:v>9</c:v>
              </c:pt>
            </c:numLit>
          </c:val>
          <c:extLst>
            <c:ext xmlns:c16="http://schemas.microsoft.com/office/drawing/2014/chart" uri="{C3380CC4-5D6E-409C-BE32-E72D297353CC}">
              <c16:uniqueId val="{00000000-2525-439B-96C5-B7BFDD0D21A7}"/>
            </c:ext>
          </c:extLst>
        </c:ser>
        <c:dLbls>
          <c:showLegendKey val="0"/>
          <c:showVal val="0"/>
          <c:showCatName val="0"/>
          <c:showSerName val="0"/>
          <c:showPercent val="0"/>
          <c:showBubbleSize val="0"/>
        </c:dLbls>
        <c:gapWidth val="150"/>
        <c:axId val="971085808"/>
        <c:axId val="971078608"/>
      </c:barChart>
      <c:catAx>
        <c:axId val="971085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1078608"/>
        <c:crosses val="autoZero"/>
        <c:auto val="1"/>
        <c:lblAlgn val="ctr"/>
        <c:lblOffset val="100"/>
        <c:noMultiLvlLbl val="0"/>
      </c:catAx>
      <c:valAx>
        <c:axId val="97107860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108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sz="1200">
                <a:solidFill>
                  <a:schemeClr val="bg1"/>
                </a:solidFill>
                <a:latin typeface="Berlin Sans FB Demi" panose="020E0802020502020306" pitchFamily="34" charset="0"/>
              </a:rPr>
              <a:t>AGE WISE ATTRITION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s>
    <c:plotArea>
      <c:layout/>
      <c:barChart>
        <c:barDir val="bar"/>
        <c:grouping val="clustered"/>
        <c:varyColors val="0"/>
        <c:ser>
          <c:idx val="0"/>
          <c:order val="0"/>
          <c:tx>
            <c:v>Series1</c:v>
          </c:tx>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1</c:v>
              </c:pt>
              <c:pt idx="1">
                <c:v>2</c:v>
              </c:pt>
            </c:strLit>
          </c:cat>
          <c:val>
            <c:numLit>
              <c:formatCode>General</c:formatCode>
              <c:ptCount val="2"/>
              <c:pt idx="0">
                <c:v>47</c:v>
              </c:pt>
              <c:pt idx="1">
                <c:v>40</c:v>
              </c:pt>
            </c:numLit>
          </c:val>
          <c:extLst>
            <c:ext xmlns:c16="http://schemas.microsoft.com/office/drawing/2014/chart" uri="{C3380CC4-5D6E-409C-BE32-E72D297353CC}">
              <c16:uniqueId val="{00000000-918B-4485-BEA1-923045103299}"/>
            </c:ext>
          </c:extLst>
        </c:ser>
        <c:ser>
          <c:idx val="1"/>
          <c:order val="1"/>
          <c:tx>
            <c:v>Series2</c:v>
          </c:tx>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1</c:v>
              </c:pt>
              <c:pt idx="1">
                <c:v>2</c:v>
              </c:pt>
            </c:strLit>
          </c:cat>
          <c:val>
            <c:numLit>
              <c:formatCode>General</c:formatCode>
              <c:ptCount val="2"/>
              <c:pt idx="0">
                <c:v>7</c:v>
              </c:pt>
              <c:pt idx="1">
                <c:v>6</c:v>
              </c:pt>
            </c:numLit>
          </c:val>
          <c:extLst>
            <c:ext xmlns:c16="http://schemas.microsoft.com/office/drawing/2014/chart" uri="{C3380CC4-5D6E-409C-BE32-E72D297353CC}">
              <c16:uniqueId val="{00000001-918B-4485-BEA1-923045103299}"/>
            </c:ext>
          </c:extLst>
        </c:ser>
        <c:dLbls>
          <c:dLblPos val="inEnd"/>
          <c:showLegendKey val="0"/>
          <c:showVal val="1"/>
          <c:showCatName val="0"/>
          <c:showSerName val="0"/>
          <c:showPercent val="0"/>
          <c:showBubbleSize val="0"/>
        </c:dLbls>
        <c:gapWidth val="115"/>
        <c:overlap val="-20"/>
        <c:axId val="860959584"/>
        <c:axId val="860959944"/>
      </c:barChart>
      <c:catAx>
        <c:axId val="860959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0959944"/>
        <c:crosses val="autoZero"/>
        <c:auto val="1"/>
        <c:lblAlgn val="ctr"/>
        <c:lblOffset val="100"/>
        <c:noMultiLvlLbl val="0"/>
      </c:catAx>
      <c:valAx>
        <c:axId val="860959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59584"/>
        <c:crosses val="autoZero"/>
        <c:crossBetween val="between"/>
      </c:valAx>
      <c:spPr>
        <a:noFill/>
        <a:ln>
          <a:noFill/>
        </a:ln>
        <a:effectLst/>
      </c:spPr>
    </c:plotArea>
    <c:legend>
      <c:legendPos val="r"/>
      <c:layout>
        <c:manualLayout>
          <c:xMode val="edge"/>
          <c:yMode val="edge"/>
          <c:x val="0.70959285680747886"/>
          <c:y val="0.47301604744374759"/>
          <c:w val="0.2671745717371195"/>
          <c:h val="0.35596582577366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latin typeface="Berlin Sans FB Demi" panose="020E0802020502020306" pitchFamily="34" charset="0"/>
              </a:rPr>
              <a:t>SALARY DISTRIBUTION</a:t>
            </a:r>
          </a:p>
        </c:rich>
      </c:tx>
      <c:layout>
        <c:manualLayout>
          <c:xMode val="edge"/>
          <c:yMode val="edge"/>
          <c:x val="0.20866444350025315"/>
          <c:y val="0.13270525698419416"/>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noFill/>
          <a:ln w="19050">
            <a:solidFill>
              <a:schemeClr val="bg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5"/>
        <c:spPr>
          <a:noFill/>
          <a:ln w="19050">
            <a:solidFill>
              <a:schemeClr val="bg2">
                <a:lumMod val="50000"/>
              </a:schemeClr>
            </a:solidFill>
          </a:ln>
          <a:effectLst/>
        </c:spPr>
      </c:pivotFmt>
      <c:pivotFmt>
        <c:idx val="26"/>
        <c:spPr>
          <a:noFill/>
          <a:ln w="19050">
            <a:solidFill>
              <a:schemeClr val="bg2">
                <a:lumMod val="50000"/>
              </a:schemeClr>
            </a:solidFill>
          </a:ln>
          <a:effectLst/>
        </c:spPr>
      </c:pivotFmt>
      <c:pivotFmt>
        <c:idx val="27"/>
        <c:spPr>
          <a:noFill/>
          <a:ln w="19050">
            <a:solidFill>
              <a:schemeClr val="bg2">
                <a:lumMod val="50000"/>
              </a:schemeClr>
            </a:solidFill>
          </a:ln>
          <a:effectLst/>
        </c:spPr>
      </c:pivotFmt>
      <c:pivotFmt>
        <c:idx val="28"/>
        <c:spPr>
          <a:noFill/>
          <a:ln w="19050">
            <a:solidFill>
              <a:schemeClr val="bg2">
                <a:lumMod val="50000"/>
              </a:schemeClr>
            </a:solidFill>
          </a:ln>
          <a:effectLst/>
        </c:spPr>
      </c:pivotFmt>
      <c:pivotFmt>
        <c:idx val="29"/>
        <c:spPr>
          <a:noFill/>
          <a:ln w="19050">
            <a:solidFill>
              <a:schemeClr val="bg2">
                <a:lumMod val="50000"/>
              </a:schemeClr>
            </a:solidFill>
          </a:ln>
          <a:effectLst/>
        </c:spPr>
      </c:pivotFmt>
      <c:pivotFmt>
        <c:idx val="30"/>
        <c:spPr>
          <a:noFill/>
          <a:ln w="19050">
            <a:solidFill>
              <a:schemeClr val="bg2">
                <a:lumMod val="50000"/>
              </a:schemeClr>
            </a:solidFill>
          </a:ln>
          <a:effectLst/>
        </c:spPr>
      </c:pivotFmt>
      <c:pivotFmt>
        <c:idx val="3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lt1"/>
          </a:solidFill>
          <a:ln w="19050">
            <a:solidFill>
              <a:schemeClr val="accent1"/>
            </a:solidFill>
          </a:ln>
          <a:effectLst/>
        </c:spPr>
      </c:pivotFmt>
      <c:pivotFmt>
        <c:idx val="33"/>
        <c:spPr>
          <a:solidFill>
            <a:schemeClr val="lt1"/>
          </a:solidFill>
          <a:ln w="19050">
            <a:solidFill>
              <a:schemeClr val="accent1"/>
            </a:solidFill>
          </a:ln>
          <a:effectLst/>
        </c:spPr>
      </c:pivotFmt>
      <c:pivotFmt>
        <c:idx val="34"/>
        <c:spPr>
          <a:solidFill>
            <a:schemeClr val="lt1"/>
          </a:solidFill>
          <a:ln w="19050">
            <a:solidFill>
              <a:schemeClr val="accent1"/>
            </a:solidFill>
          </a:ln>
          <a:effectLst/>
        </c:spPr>
      </c:pivotFmt>
      <c:pivotFmt>
        <c:idx val="35"/>
        <c:spPr>
          <a:solidFill>
            <a:schemeClr val="lt1"/>
          </a:solidFill>
          <a:ln w="19050">
            <a:solidFill>
              <a:schemeClr val="accent1"/>
            </a:solidFill>
          </a:ln>
          <a:effectLst/>
        </c:spPr>
      </c:pivotFmt>
      <c:pivotFmt>
        <c:idx val="36"/>
        <c:spPr>
          <a:solidFill>
            <a:schemeClr val="lt1"/>
          </a:solidFill>
          <a:ln w="19050">
            <a:solidFill>
              <a:schemeClr val="accent1"/>
            </a:solidFill>
          </a:ln>
          <a:effectLst/>
        </c:spPr>
      </c:pivotFmt>
      <c:pivotFmt>
        <c:idx val="37"/>
        <c:spPr>
          <a:solidFill>
            <a:schemeClr val="lt1"/>
          </a:solidFill>
          <a:ln w="19050">
            <a:solidFill>
              <a:schemeClr val="accent1"/>
            </a:solidFill>
          </a:ln>
          <a:effectLst/>
        </c:spPr>
      </c:pivotFmt>
      <c:pivotFmt>
        <c:idx val="3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lt1"/>
          </a:solidFill>
          <a:ln w="19050">
            <a:solidFill>
              <a:schemeClr val="accent1"/>
            </a:solidFill>
          </a:ln>
          <a:effectLst/>
        </c:spPr>
      </c:pivotFmt>
      <c:pivotFmt>
        <c:idx val="40"/>
        <c:spPr>
          <a:solidFill>
            <a:schemeClr val="lt1"/>
          </a:solidFill>
          <a:ln w="19050">
            <a:solidFill>
              <a:schemeClr val="accent1"/>
            </a:solidFill>
          </a:ln>
          <a:effectLst/>
        </c:spPr>
      </c:pivotFmt>
      <c:pivotFmt>
        <c:idx val="41"/>
        <c:spPr>
          <a:solidFill>
            <a:schemeClr val="lt1"/>
          </a:solidFill>
          <a:ln w="19050">
            <a:solidFill>
              <a:schemeClr val="accent1"/>
            </a:solidFill>
          </a:ln>
          <a:effectLst/>
        </c:spPr>
      </c:pivotFmt>
      <c:pivotFmt>
        <c:idx val="42"/>
        <c:spPr>
          <a:solidFill>
            <a:schemeClr val="lt1"/>
          </a:solidFill>
          <a:ln w="19050">
            <a:solidFill>
              <a:schemeClr val="accent1"/>
            </a:solidFill>
          </a:ln>
          <a:effectLst/>
        </c:spPr>
      </c:pivotFmt>
      <c:pivotFmt>
        <c:idx val="43"/>
        <c:spPr>
          <a:solidFill>
            <a:schemeClr val="lt1"/>
          </a:solidFill>
          <a:ln w="19050">
            <a:solidFill>
              <a:schemeClr val="accent1"/>
            </a:solidFill>
          </a:ln>
          <a:effectLst/>
        </c:spPr>
      </c:pivotFmt>
      <c:pivotFmt>
        <c:idx val="44"/>
        <c:spPr>
          <a:solidFill>
            <a:schemeClr val="lt1"/>
          </a:solidFill>
          <a:ln w="19050">
            <a:solidFill>
              <a:schemeClr val="accent1"/>
            </a:solidFill>
          </a:ln>
          <a:effectLst/>
        </c:spPr>
      </c:pivotFmt>
    </c:pivotFmts>
    <c:plotArea>
      <c:layout>
        <c:manualLayout>
          <c:layoutTarget val="inner"/>
          <c:xMode val="edge"/>
          <c:yMode val="edge"/>
          <c:x val="0.19950391879686918"/>
          <c:y val="0.29053449594274561"/>
          <c:w val="0.64214397452797078"/>
          <c:h val="0.63908593608865327"/>
        </c:manualLayout>
      </c:layout>
      <c:pieChart>
        <c:varyColors val="1"/>
        <c:ser>
          <c:idx val="0"/>
          <c:order val="0"/>
          <c:tx>
            <c:v>Series1</c:v>
          </c:tx>
          <c:spPr>
            <a:noFill/>
            <a:ln w="19050">
              <a:solidFill>
                <a:schemeClr val="bg2">
                  <a:lumMod val="50000"/>
                </a:schemeClr>
              </a:solidFill>
            </a:ln>
            <a:effectLst/>
          </c:spPr>
          <c:dPt>
            <c:idx val="0"/>
            <c:bubble3D val="0"/>
            <c:spPr>
              <a:noFill/>
              <a:ln w="19050">
                <a:solidFill>
                  <a:schemeClr val="bg2">
                    <a:lumMod val="50000"/>
                  </a:schemeClr>
                </a:solidFill>
              </a:ln>
              <a:effectLst/>
            </c:spPr>
            <c:extLst>
              <c:ext xmlns:c16="http://schemas.microsoft.com/office/drawing/2014/chart" uri="{C3380CC4-5D6E-409C-BE32-E72D297353CC}">
                <c16:uniqueId val="{00000001-78A3-4278-8DDA-1B9C68F37453}"/>
              </c:ext>
            </c:extLst>
          </c:dPt>
          <c:dPt>
            <c:idx val="1"/>
            <c:bubble3D val="0"/>
            <c:spPr>
              <a:noFill/>
              <a:ln w="19050">
                <a:solidFill>
                  <a:schemeClr val="bg2">
                    <a:lumMod val="50000"/>
                  </a:schemeClr>
                </a:solidFill>
              </a:ln>
              <a:effectLst/>
            </c:spPr>
            <c:extLst>
              <c:ext xmlns:c16="http://schemas.microsoft.com/office/drawing/2014/chart" uri="{C3380CC4-5D6E-409C-BE32-E72D297353CC}">
                <c16:uniqueId val="{00000003-78A3-4278-8DDA-1B9C68F37453}"/>
              </c:ext>
            </c:extLst>
          </c:dPt>
          <c:dPt>
            <c:idx val="2"/>
            <c:bubble3D val="0"/>
            <c:spPr>
              <a:noFill/>
              <a:ln w="19050">
                <a:solidFill>
                  <a:schemeClr val="bg2">
                    <a:lumMod val="50000"/>
                  </a:schemeClr>
                </a:solidFill>
              </a:ln>
              <a:effectLst/>
            </c:spPr>
            <c:extLst>
              <c:ext xmlns:c16="http://schemas.microsoft.com/office/drawing/2014/chart" uri="{C3380CC4-5D6E-409C-BE32-E72D297353CC}">
                <c16:uniqueId val="{00000005-78A3-4278-8DDA-1B9C68F37453}"/>
              </c:ext>
            </c:extLst>
          </c:dPt>
          <c:dPt>
            <c:idx val="3"/>
            <c:bubble3D val="0"/>
            <c:spPr>
              <a:noFill/>
              <a:ln w="19050">
                <a:solidFill>
                  <a:schemeClr val="bg2">
                    <a:lumMod val="50000"/>
                  </a:schemeClr>
                </a:solidFill>
              </a:ln>
              <a:effectLst/>
            </c:spPr>
            <c:extLst>
              <c:ext xmlns:c16="http://schemas.microsoft.com/office/drawing/2014/chart" uri="{C3380CC4-5D6E-409C-BE32-E72D297353CC}">
                <c16:uniqueId val="{00000007-78A3-4278-8DDA-1B9C68F37453}"/>
              </c:ext>
            </c:extLst>
          </c:dPt>
          <c:dPt>
            <c:idx val="4"/>
            <c:bubble3D val="0"/>
            <c:spPr>
              <a:noFill/>
              <a:ln w="19050">
                <a:solidFill>
                  <a:schemeClr val="bg2">
                    <a:lumMod val="50000"/>
                  </a:schemeClr>
                </a:solidFill>
              </a:ln>
              <a:effectLst/>
            </c:spPr>
            <c:extLst>
              <c:ext xmlns:c16="http://schemas.microsoft.com/office/drawing/2014/chart" uri="{C3380CC4-5D6E-409C-BE32-E72D297353CC}">
                <c16:uniqueId val="{00000009-78A3-4278-8DDA-1B9C68F37453}"/>
              </c:ext>
            </c:extLst>
          </c:dPt>
          <c:dPt>
            <c:idx val="5"/>
            <c:bubble3D val="0"/>
            <c:spPr>
              <a:noFill/>
              <a:ln w="19050">
                <a:solidFill>
                  <a:schemeClr val="bg2">
                    <a:lumMod val="50000"/>
                  </a:schemeClr>
                </a:solidFill>
              </a:ln>
              <a:effectLst/>
            </c:spPr>
            <c:extLst>
              <c:ext xmlns:c16="http://schemas.microsoft.com/office/drawing/2014/chart" uri="{C3380CC4-5D6E-409C-BE32-E72D297353CC}">
                <c16:uniqueId val="{0000000B-78A3-4278-8DDA-1B9C68F374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numLit>
              <c:formatCode>General</c:formatCode>
              <c:ptCount val="6"/>
              <c:pt idx="0">
                <c:v>0</c:v>
              </c:pt>
              <c:pt idx="1">
                <c:v>0</c:v>
              </c:pt>
              <c:pt idx="2">
                <c:v>0</c:v>
              </c:pt>
              <c:pt idx="3">
                <c:v>0</c:v>
              </c:pt>
              <c:pt idx="4">
                <c:v>0</c:v>
              </c:pt>
              <c:pt idx="5">
                <c:v>0</c:v>
              </c:pt>
            </c:numLit>
          </c:cat>
          <c:val>
            <c:numLit>
              <c:formatCode>General</c:formatCode>
              <c:ptCount val="6"/>
              <c:pt idx="0">
                <c:v>368572.19525135122</c:v>
              </c:pt>
              <c:pt idx="1">
                <c:v>392395.96434074111</c:v>
              </c:pt>
              <c:pt idx="2">
                <c:v>389550.31265031261</c:v>
              </c:pt>
              <c:pt idx="3">
                <c:v>496024.62142779073</c:v>
              </c:pt>
              <c:pt idx="4">
                <c:v>673518.72631545668</c:v>
              </c:pt>
              <c:pt idx="5">
                <c:v>670787.09215686331</c:v>
              </c:pt>
            </c:numLit>
          </c:val>
          <c:extLst>
            <c:ext xmlns:c16="http://schemas.microsoft.com/office/drawing/2014/chart" uri="{C3380CC4-5D6E-409C-BE32-E72D297353CC}">
              <c16:uniqueId val="{0000000C-78A3-4278-8DDA-1B9C68F37453}"/>
            </c:ext>
          </c:extLst>
        </c:ser>
        <c:ser>
          <c:idx val="1"/>
          <c:order val="1"/>
          <c:tx>
            <c:v>Series2</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E-78A3-4278-8DDA-1B9C68F3745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10-78A3-4278-8DDA-1B9C68F3745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12-78A3-4278-8DDA-1B9C68F3745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14-78A3-4278-8DDA-1B9C68F37453}"/>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16-78A3-4278-8DDA-1B9C68F37453}"/>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18-78A3-4278-8DDA-1B9C68F374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numLit>
              <c:formatCode>General</c:formatCode>
              <c:ptCount val="6"/>
              <c:pt idx="0">
                <c:v>0</c:v>
              </c:pt>
              <c:pt idx="1">
                <c:v>0</c:v>
              </c:pt>
              <c:pt idx="2">
                <c:v>0</c:v>
              </c:pt>
              <c:pt idx="3">
                <c:v>0</c:v>
              </c:pt>
              <c:pt idx="4">
                <c:v>0</c:v>
              </c:pt>
              <c:pt idx="5">
                <c:v>0</c:v>
              </c:pt>
            </c:numLit>
          </c:cat>
          <c:val>
            <c:numLit>
              <c:formatCode>General</c:formatCode>
              <c:ptCount val="6"/>
              <c:pt idx="0">
                <c:v>582000</c:v>
              </c:pt>
              <c:pt idx="1">
                <c:v>630000</c:v>
              </c:pt>
              <c:pt idx="2">
                <c:v>630000</c:v>
              </c:pt>
              <c:pt idx="3">
                <c:v>810000</c:v>
              </c:pt>
              <c:pt idx="4">
                <c:v>1067000</c:v>
              </c:pt>
              <c:pt idx="5">
                <c:v>1080000</c:v>
              </c:pt>
            </c:numLit>
          </c:val>
          <c:extLst>
            <c:ext xmlns:c16="http://schemas.microsoft.com/office/drawing/2014/chart" uri="{C3380CC4-5D6E-409C-BE32-E72D297353CC}">
              <c16:uniqueId val="{00000019-78A3-4278-8DDA-1B9C68F37453}"/>
            </c:ext>
          </c:extLst>
        </c:ser>
        <c:ser>
          <c:idx val="2"/>
          <c:order val="2"/>
          <c:tx>
            <c:v>Series3</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1B-78A3-4278-8DDA-1B9C68F37453}"/>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1D-78A3-4278-8DDA-1B9C68F37453}"/>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1F-78A3-4278-8DDA-1B9C68F37453}"/>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21-78A3-4278-8DDA-1B9C68F37453}"/>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23-78A3-4278-8DDA-1B9C68F37453}"/>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25-78A3-4278-8DDA-1B9C68F374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numLit>
              <c:formatCode>General</c:formatCode>
              <c:ptCount val="6"/>
              <c:pt idx="0">
                <c:v>0</c:v>
              </c:pt>
              <c:pt idx="1">
                <c:v>0</c:v>
              </c:pt>
              <c:pt idx="2">
                <c:v>0</c:v>
              </c:pt>
              <c:pt idx="3">
                <c:v>0</c:v>
              </c:pt>
              <c:pt idx="4">
                <c:v>0</c:v>
              </c:pt>
              <c:pt idx="5">
                <c:v>0</c:v>
              </c:pt>
            </c:numLit>
          </c:cat>
          <c:val>
            <c:numLit>
              <c:formatCode>General</c:formatCode>
              <c:ptCount val="6"/>
              <c:pt idx="0">
                <c:v>203000</c:v>
              </c:pt>
              <c:pt idx="1">
                <c:v>175000</c:v>
              </c:pt>
              <c:pt idx="2">
                <c:v>190000</c:v>
              </c:pt>
              <c:pt idx="3">
                <c:v>247000</c:v>
              </c:pt>
              <c:pt idx="4">
                <c:v>348000</c:v>
              </c:pt>
              <c:pt idx="5">
                <c:v>324000</c:v>
              </c:pt>
            </c:numLit>
          </c:val>
          <c:extLst>
            <c:ext xmlns:c16="http://schemas.microsoft.com/office/drawing/2014/chart" uri="{C3380CC4-5D6E-409C-BE32-E72D297353CC}">
              <c16:uniqueId val="{00000026-78A3-4278-8DDA-1B9C68F37453}"/>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Berlin Sans FB Demi" panose="020E0802020502020306" pitchFamily="34" charset="0"/>
              </a:rPr>
              <a:t>AGE</a:t>
            </a:r>
            <a:r>
              <a:rPr lang="en-US" sz="1200" baseline="0">
                <a:solidFill>
                  <a:schemeClr val="bg1"/>
                </a:solidFill>
                <a:latin typeface="Berlin Sans FB Demi" panose="020E0802020502020306" pitchFamily="34" charset="0"/>
              </a:rPr>
              <a:t> DISTRIBUTION</a:t>
            </a:r>
            <a:endParaRPr lang="en-US" sz="1200">
              <a:solidFill>
                <a:schemeClr val="bg1"/>
              </a:solidFill>
              <a:latin typeface="Berlin Sans FB Demi" panose="020E0802020502020306"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3">
                <a:lumMod val="75000"/>
              </a:schemeClr>
            </a:solidFill>
            <a:ln w="19050">
              <a:solidFill>
                <a:schemeClr val="lt1"/>
              </a:solidFill>
            </a:ln>
            <a:effectLst/>
          </c:spPr>
          <c:invertIfNegative val="0"/>
          <c:cat>
            <c:numLit>
              <c:formatCode>General</c:formatCode>
              <c:ptCount val="4"/>
              <c:pt idx="0">
                <c:v>1</c:v>
              </c:pt>
              <c:pt idx="1">
                <c:v>2</c:v>
              </c:pt>
              <c:pt idx="2">
                <c:v>3</c:v>
              </c:pt>
              <c:pt idx="3">
                <c:v>4</c:v>
              </c:pt>
            </c:numLit>
          </c:cat>
          <c:val>
            <c:numLit>
              <c:formatCode>General</c:formatCode>
              <c:ptCount val="4"/>
              <c:pt idx="0">
                <c:v>21</c:v>
              </c:pt>
              <c:pt idx="1">
                <c:v>26</c:v>
              </c:pt>
              <c:pt idx="2">
                <c:v>20</c:v>
              </c:pt>
              <c:pt idx="3">
                <c:v>33</c:v>
              </c:pt>
            </c:numLit>
          </c:val>
          <c:extLst>
            <c:ext xmlns:c16="http://schemas.microsoft.com/office/drawing/2014/chart" uri="{C3380CC4-5D6E-409C-BE32-E72D297353CC}">
              <c16:uniqueId val="{00000000-374F-4DFE-9015-DBD129E12FB7}"/>
            </c:ext>
          </c:extLst>
        </c:ser>
        <c:dLbls>
          <c:showLegendKey val="0"/>
          <c:showVal val="0"/>
          <c:showCatName val="0"/>
          <c:showSerName val="0"/>
          <c:showPercent val="0"/>
          <c:showBubbleSize val="0"/>
        </c:dLbls>
        <c:gapWidth val="150"/>
        <c:overlap val="100"/>
        <c:axId val="860962104"/>
        <c:axId val="860962824"/>
      </c:barChart>
      <c:catAx>
        <c:axId val="860962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0962824"/>
        <c:crosses val="autoZero"/>
        <c:auto val="1"/>
        <c:lblAlgn val="ctr"/>
        <c:lblOffset val="100"/>
        <c:noMultiLvlLbl val="0"/>
      </c:catAx>
      <c:valAx>
        <c:axId val="860962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0962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Berlin Sans FB Demi" panose="020E0802020502020306" pitchFamily="34" charset="0"/>
              </a:rPr>
              <a:t>ATTRITION</a:t>
            </a:r>
            <a:r>
              <a:rPr lang="en-US" sz="1200" baseline="0">
                <a:solidFill>
                  <a:schemeClr val="bg1"/>
                </a:solidFill>
                <a:latin typeface="Berlin Sans FB Demi" panose="020E0802020502020306" pitchFamily="34" charset="0"/>
              </a:rPr>
              <a:t> STATUS</a:t>
            </a:r>
            <a:endParaRPr lang="en-US" sz="1200">
              <a:solidFill>
                <a:schemeClr val="bg1"/>
              </a:solidFill>
              <a:latin typeface="Berlin Sans FB Demi" panose="020E0802020502020306" pitchFamily="34" charset="0"/>
            </a:endParaRPr>
          </a:p>
        </c:rich>
      </c:tx>
      <c:layout>
        <c:manualLayout>
          <c:xMode val="edge"/>
          <c:yMode val="edge"/>
          <c:x val="0.15858697721902076"/>
          <c:y val="0.1417873959926222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w="19050">
            <a:solidFill>
              <a:schemeClr val="lt1"/>
            </a:solidFill>
          </a:ln>
          <a:effectLst/>
        </c:spPr>
      </c:pivotFmt>
      <c:pivotFmt>
        <c:idx val="6"/>
        <c:spPr>
          <a:solidFill>
            <a:schemeClr val="bg2">
              <a:lumMod val="90000"/>
            </a:schemeClr>
          </a:solidFill>
          <a:ln w="19050">
            <a:solidFill>
              <a:schemeClr val="lt1"/>
            </a:solidFill>
          </a:ln>
          <a:effectLst/>
        </c:spPr>
      </c:pivotFmt>
    </c:pivotFmts>
    <c:plotArea>
      <c:layout>
        <c:manualLayout>
          <c:layoutTarget val="inner"/>
          <c:xMode val="edge"/>
          <c:yMode val="edge"/>
          <c:x val="6.1298922859013352E-2"/>
          <c:y val="0.37415242621447142"/>
          <c:w val="0.51620582045778052"/>
          <c:h val="0.50947797206779633"/>
        </c:manualLayout>
      </c:layout>
      <c:doughnutChart>
        <c:varyColors val="1"/>
        <c:ser>
          <c:idx val="0"/>
          <c:order val="0"/>
          <c:tx>
            <c:v>Series1</c:v>
          </c:tx>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44BE-4B39-8CAC-080F0732CEEA}"/>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44BE-4B39-8CAC-080F0732CEEA}"/>
              </c:ext>
            </c:extLst>
          </c:dPt>
          <c:cat>
            <c:numLit>
              <c:formatCode>General</c:formatCode>
              <c:ptCount val="2"/>
              <c:pt idx="0">
                <c:v>0</c:v>
              </c:pt>
              <c:pt idx="1">
                <c:v>0</c:v>
              </c:pt>
            </c:numLit>
          </c:cat>
          <c:val>
            <c:numLit>
              <c:formatCode>General</c:formatCode>
              <c:ptCount val="2"/>
              <c:pt idx="0">
                <c:v>87</c:v>
              </c:pt>
              <c:pt idx="1">
                <c:v>13</c:v>
              </c:pt>
            </c:numLit>
          </c:val>
          <c:extLst>
            <c:ext xmlns:c16="http://schemas.microsoft.com/office/drawing/2014/chart" uri="{C3380CC4-5D6E-409C-BE32-E72D297353CC}">
              <c16:uniqueId val="{00000004-44BE-4B39-8CAC-080F0732CE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99060</xdr:rowOff>
    </xdr:from>
    <xdr:to>
      <xdr:col>25</xdr:col>
      <xdr:colOff>106680</xdr:colOff>
      <xdr:row>35</xdr:row>
      <xdr:rowOff>177031</xdr:rowOff>
    </xdr:to>
    <xdr:sp macro="" textlink="">
      <xdr:nvSpPr>
        <xdr:cNvPr id="2" name="Rectangle 1">
          <a:extLst>
            <a:ext uri="{FF2B5EF4-FFF2-40B4-BE49-F238E27FC236}">
              <a16:creationId xmlns:a16="http://schemas.microsoft.com/office/drawing/2014/main" id="{39F65D6B-C903-5B4D-2417-626F0E0BA54A}"/>
            </a:ext>
          </a:extLst>
        </xdr:cNvPr>
        <xdr:cNvSpPr/>
      </xdr:nvSpPr>
      <xdr:spPr>
        <a:xfrm>
          <a:off x="0" y="468515"/>
          <a:ext cx="15308195" cy="6173971"/>
        </a:xfrm>
        <a:prstGeom prst="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25</xdr:col>
      <xdr:colOff>117928</xdr:colOff>
      <xdr:row>2</xdr:row>
      <xdr:rowOff>99060</xdr:rowOff>
    </xdr:to>
    <xdr:sp macro="" textlink="">
      <xdr:nvSpPr>
        <xdr:cNvPr id="2049" name="Text Box 1">
          <a:extLst>
            <a:ext uri="{FF2B5EF4-FFF2-40B4-BE49-F238E27FC236}">
              <a16:creationId xmlns:a16="http://schemas.microsoft.com/office/drawing/2014/main" id="{3780015E-32BE-5059-95A6-4576A6BC4B09}"/>
            </a:ext>
          </a:extLst>
        </xdr:cNvPr>
        <xdr:cNvSpPr txBox="1">
          <a:spLocks noChangeArrowheads="1"/>
        </xdr:cNvSpPr>
      </xdr:nvSpPr>
      <xdr:spPr bwMode="auto">
        <a:xfrm>
          <a:off x="0" y="0"/>
          <a:ext cx="15319443" cy="468515"/>
        </a:xfrm>
        <a:prstGeom prst="rect">
          <a:avLst/>
        </a:prstGeom>
        <a:solidFill>
          <a:schemeClr val="bg2">
            <a:lumMod val="5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IN" sz="2400" b="0" i="0" u="none" strike="noStrike" baseline="0">
              <a:solidFill>
                <a:srgbClr val="000000"/>
              </a:solidFill>
              <a:latin typeface="Berlin Sans FB Demi" panose="020E0802020502020306" pitchFamily="34" charset="0"/>
              <a:ea typeface="Calibri"/>
              <a:cs typeface="Calibri"/>
            </a:rPr>
            <a:t>HR ANALYTICS DASHBOARD</a:t>
          </a:r>
        </a:p>
      </xdr:txBody>
    </xdr:sp>
    <xdr:clientData/>
  </xdr:twoCellAnchor>
  <xdr:twoCellAnchor>
    <xdr:from>
      <xdr:col>0</xdr:col>
      <xdr:colOff>510540</xdr:colOff>
      <xdr:row>3</xdr:row>
      <xdr:rowOff>53341</xdr:rowOff>
    </xdr:from>
    <xdr:to>
      <xdr:col>3</xdr:col>
      <xdr:colOff>495300</xdr:colOff>
      <xdr:row>9</xdr:row>
      <xdr:rowOff>23092</xdr:rowOff>
    </xdr:to>
    <xdr:sp macro="" textlink="">
      <xdr:nvSpPr>
        <xdr:cNvPr id="3" name="Rectangle: Rounded Corners 2">
          <a:extLst>
            <a:ext uri="{FF2B5EF4-FFF2-40B4-BE49-F238E27FC236}">
              <a16:creationId xmlns:a16="http://schemas.microsoft.com/office/drawing/2014/main" id="{8F162AC0-1671-AB08-8012-E75A1D0A859C}"/>
            </a:ext>
          </a:extLst>
        </xdr:cNvPr>
        <xdr:cNvSpPr/>
      </xdr:nvSpPr>
      <xdr:spPr>
        <a:xfrm>
          <a:off x="510540" y="607523"/>
          <a:ext cx="1808942" cy="1078114"/>
        </a:xfrm>
        <a:prstGeom prst="round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0">
              <a:latin typeface="Berlin Sans FB Demi" panose="020E0802020502020306" pitchFamily="34" charset="0"/>
            </a:rPr>
            <a:t>TOTAL EMPLOYEES</a:t>
          </a:r>
        </a:p>
        <a:p>
          <a:pPr algn="ctr"/>
          <a:endParaRPr lang="en-IN" sz="1100" b="0">
            <a:latin typeface="Berlin Sans FB Demi" panose="020E0802020502020306" pitchFamily="34" charset="0"/>
          </a:endParaRPr>
        </a:p>
        <a:p>
          <a:pPr algn="ctr"/>
          <a:r>
            <a:rPr lang="en-IN" sz="2000" b="1">
              <a:latin typeface="Berlin Sans FB Demi" panose="020E0802020502020306" pitchFamily="34" charset="0"/>
            </a:rPr>
            <a:t>100</a:t>
          </a:r>
        </a:p>
      </xdr:txBody>
    </xdr:sp>
    <xdr:clientData/>
  </xdr:twoCellAnchor>
  <xdr:twoCellAnchor>
    <xdr:from>
      <xdr:col>4</xdr:col>
      <xdr:colOff>457200</xdr:colOff>
      <xdr:row>3</xdr:row>
      <xdr:rowOff>60960</xdr:rowOff>
    </xdr:from>
    <xdr:to>
      <xdr:col>7</xdr:col>
      <xdr:colOff>441960</xdr:colOff>
      <xdr:row>9</xdr:row>
      <xdr:rowOff>23090</xdr:rowOff>
    </xdr:to>
    <xdr:sp macro="" textlink="">
      <xdr:nvSpPr>
        <xdr:cNvPr id="4" name="Rectangle: Rounded Corners 3">
          <a:extLst>
            <a:ext uri="{FF2B5EF4-FFF2-40B4-BE49-F238E27FC236}">
              <a16:creationId xmlns:a16="http://schemas.microsoft.com/office/drawing/2014/main" id="{93E63450-619E-41F8-A60A-4E6BB999AE03}"/>
            </a:ext>
          </a:extLst>
        </xdr:cNvPr>
        <xdr:cNvSpPr/>
      </xdr:nvSpPr>
      <xdr:spPr>
        <a:xfrm>
          <a:off x="2889442" y="615142"/>
          <a:ext cx="1808942" cy="1070493"/>
        </a:xfrm>
        <a:prstGeom prst="round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Berlin Sans FB Demi" panose="020E0802020502020306" pitchFamily="34" charset="0"/>
            </a:rPr>
            <a:t>EMPLOYEES LEFT</a:t>
          </a:r>
        </a:p>
        <a:p>
          <a:pPr algn="ctr"/>
          <a:endParaRPr lang="en-IN" sz="1200">
            <a:latin typeface="Berlin Sans FB Demi" panose="020E0802020502020306" pitchFamily="34" charset="0"/>
          </a:endParaRPr>
        </a:p>
        <a:p>
          <a:pPr algn="ctr"/>
          <a:r>
            <a:rPr lang="en-IN" sz="2000">
              <a:latin typeface="Berlin Sans FB Demi" panose="020E0802020502020306" pitchFamily="34" charset="0"/>
            </a:rPr>
            <a:t>13</a:t>
          </a:r>
        </a:p>
      </xdr:txBody>
    </xdr:sp>
    <xdr:clientData/>
  </xdr:twoCellAnchor>
  <xdr:twoCellAnchor>
    <xdr:from>
      <xdr:col>8</xdr:col>
      <xdr:colOff>441960</xdr:colOff>
      <xdr:row>3</xdr:row>
      <xdr:rowOff>83821</xdr:rowOff>
    </xdr:from>
    <xdr:to>
      <xdr:col>11</xdr:col>
      <xdr:colOff>426720</xdr:colOff>
      <xdr:row>8</xdr:row>
      <xdr:rowOff>169335</xdr:rowOff>
    </xdr:to>
    <xdr:sp macro="" textlink="">
      <xdr:nvSpPr>
        <xdr:cNvPr id="5" name="Rectangle: Rounded Corners 4">
          <a:extLst>
            <a:ext uri="{FF2B5EF4-FFF2-40B4-BE49-F238E27FC236}">
              <a16:creationId xmlns:a16="http://schemas.microsoft.com/office/drawing/2014/main" id="{C42BADF7-C374-48BA-811A-3C209F79EA60}"/>
            </a:ext>
          </a:extLst>
        </xdr:cNvPr>
        <xdr:cNvSpPr/>
      </xdr:nvSpPr>
      <xdr:spPr>
        <a:xfrm>
          <a:off x="5306445" y="638003"/>
          <a:ext cx="1808942" cy="1009150"/>
        </a:xfrm>
        <a:prstGeom prst="round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Berlin Sans FB Demi" panose="020E0802020502020306" pitchFamily="34" charset="0"/>
            </a:rPr>
            <a:t>ATTRITION</a:t>
          </a:r>
          <a:r>
            <a:rPr lang="en-IN" sz="1200" baseline="0">
              <a:latin typeface="Berlin Sans FB Demi" panose="020E0802020502020306" pitchFamily="34" charset="0"/>
            </a:rPr>
            <a:t> RATE</a:t>
          </a:r>
        </a:p>
        <a:p>
          <a:pPr algn="ctr"/>
          <a:endParaRPr lang="en-IN" sz="1200" baseline="0">
            <a:latin typeface="Berlin Sans FB Demi" panose="020E0802020502020306" pitchFamily="34" charset="0"/>
          </a:endParaRPr>
        </a:p>
        <a:p>
          <a:pPr algn="ctr"/>
          <a:r>
            <a:rPr lang="en-IN" sz="2000" baseline="0">
              <a:latin typeface="Berlin Sans FB Demi" panose="020E0802020502020306" pitchFamily="34" charset="0"/>
            </a:rPr>
            <a:t>13%</a:t>
          </a:r>
          <a:endParaRPr lang="en-IN" sz="2000">
            <a:latin typeface="Berlin Sans FB Demi" panose="020E0802020502020306" pitchFamily="34" charset="0"/>
          </a:endParaRPr>
        </a:p>
      </xdr:txBody>
    </xdr:sp>
    <xdr:clientData/>
  </xdr:twoCellAnchor>
  <xdr:twoCellAnchor>
    <xdr:from>
      <xdr:col>12</xdr:col>
      <xdr:colOff>373380</xdr:colOff>
      <xdr:row>3</xdr:row>
      <xdr:rowOff>99061</xdr:rowOff>
    </xdr:from>
    <xdr:to>
      <xdr:col>15</xdr:col>
      <xdr:colOff>358140</xdr:colOff>
      <xdr:row>9</xdr:row>
      <xdr:rowOff>7698</xdr:rowOff>
    </xdr:to>
    <xdr:sp macro="" textlink="">
      <xdr:nvSpPr>
        <xdr:cNvPr id="6" name="Rectangle: Rounded Corners 5">
          <a:extLst>
            <a:ext uri="{FF2B5EF4-FFF2-40B4-BE49-F238E27FC236}">
              <a16:creationId xmlns:a16="http://schemas.microsoft.com/office/drawing/2014/main" id="{91B3CBB4-4F56-406F-8D3C-E63D58A1056E}"/>
            </a:ext>
          </a:extLst>
        </xdr:cNvPr>
        <xdr:cNvSpPr/>
      </xdr:nvSpPr>
      <xdr:spPr>
        <a:xfrm>
          <a:off x="7670107" y="653243"/>
          <a:ext cx="1808942" cy="1017000"/>
        </a:xfrm>
        <a:prstGeom prst="round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latin typeface="Berlin Sans FB Demi" panose="020E0802020502020306" pitchFamily="34" charset="0"/>
            </a:rPr>
            <a:t>AVERAGE SALARY</a:t>
          </a:r>
        </a:p>
        <a:p>
          <a:pPr algn="ctr"/>
          <a:endParaRPr lang="en-IN" sz="1200">
            <a:latin typeface="Berlin Sans FB Demi" panose="020E0802020502020306" pitchFamily="34" charset="0"/>
          </a:endParaRPr>
        </a:p>
        <a:p>
          <a:pPr algn="ctr"/>
          <a:r>
            <a:rPr lang="en-IN" sz="2000">
              <a:latin typeface="Berlin Sans FB Demi" panose="020E0802020502020306" pitchFamily="34" charset="0"/>
            </a:rPr>
            <a:t>55737</a:t>
          </a:r>
        </a:p>
      </xdr:txBody>
    </xdr:sp>
    <xdr:clientData/>
  </xdr:twoCellAnchor>
  <xdr:twoCellAnchor>
    <xdr:from>
      <xdr:col>16</xdr:col>
      <xdr:colOff>0</xdr:colOff>
      <xdr:row>4</xdr:row>
      <xdr:rowOff>0</xdr:rowOff>
    </xdr:from>
    <xdr:to>
      <xdr:col>23</xdr:col>
      <xdr:colOff>39454</xdr:colOff>
      <xdr:row>32</xdr:row>
      <xdr:rowOff>15393</xdr:rowOff>
    </xdr:to>
    <xdr:sp macro="" textlink="">
      <xdr:nvSpPr>
        <xdr:cNvPr id="10" name="Rectangle: Rounded Corners 9">
          <a:extLst>
            <a:ext uri="{FF2B5EF4-FFF2-40B4-BE49-F238E27FC236}">
              <a16:creationId xmlns:a16="http://schemas.microsoft.com/office/drawing/2014/main" id="{EF2AF3EA-AFA2-D5F7-F042-331268A4CD1F}"/>
            </a:ext>
          </a:extLst>
        </xdr:cNvPr>
        <xdr:cNvSpPr/>
      </xdr:nvSpPr>
      <xdr:spPr>
        <a:xfrm>
          <a:off x="9728970" y="738909"/>
          <a:ext cx="4295878" cy="5187757"/>
        </a:xfrm>
        <a:prstGeom prst="round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422364</xdr:colOff>
      <xdr:row>6</xdr:row>
      <xdr:rowOff>161076</xdr:rowOff>
    </xdr:from>
    <xdr:to>
      <xdr:col>23</xdr:col>
      <xdr:colOff>0</xdr:colOff>
      <xdr:row>18</xdr:row>
      <xdr:rowOff>184726</xdr:rowOff>
    </xdr:to>
    <xdr:graphicFrame macro="">
      <xdr:nvGraphicFramePr>
        <xdr:cNvPr id="12" name="Chart 11">
          <a:extLst>
            <a:ext uri="{FF2B5EF4-FFF2-40B4-BE49-F238E27FC236}">
              <a16:creationId xmlns:a16="http://schemas.microsoft.com/office/drawing/2014/main" id="{6299E428-3AA3-456F-A08E-6CE4F13D5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399273</xdr:colOff>
      <xdr:row>20</xdr:row>
      <xdr:rowOff>169892</xdr:rowOff>
    </xdr:from>
    <xdr:to>
      <xdr:col>22</xdr:col>
      <xdr:colOff>415635</xdr:colOff>
      <xdr:row>31</xdr:row>
      <xdr:rowOff>0</xdr:rowOff>
    </xdr:to>
    <xdr:graphicFrame macro="">
      <xdr:nvGraphicFramePr>
        <xdr:cNvPr id="13" name="Chart 12">
          <a:extLst>
            <a:ext uri="{FF2B5EF4-FFF2-40B4-BE49-F238E27FC236}">
              <a16:creationId xmlns:a16="http://schemas.microsoft.com/office/drawing/2014/main" id="{A3F6D491-BC4B-433B-A640-4D1D241E4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16</xdr:row>
      <xdr:rowOff>38486</xdr:rowOff>
    </xdr:from>
    <xdr:to>
      <xdr:col>6</xdr:col>
      <xdr:colOff>287327</xdr:colOff>
      <xdr:row>32</xdr:row>
      <xdr:rowOff>92365</xdr:rowOff>
    </xdr:to>
    <xdr:sp macro="" textlink="">
      <xdr:nvSpPr>
        <xdr:cNvPr id="14" name="Rectangle: Rounded Corners 13">
          <a:extLst>
            <a:ext uri="{FF2B5EF4-FFF2-40B4-BE49-F238E27FC236}">
              <a16:creationId xmlns:a16="http://schemas.microsoft.com/office/drawing/2014/main" id="{722D5513-A171-490E-B8B4-999AF8F66FF7}"/>
            </a:ext>
          </a:extLst>
        </xdr:cNvPr>
        <xdr:cNvSpPr/>
      </xdr:nvSpPr>
      <xdr:spPr>
        <a:xfrm>
          <a:off x="510540" y="2994122"/>
          <a:ext cx="3425151" cy="3009516"/>
        </a:xfrm>
        <a:prstGeom prst="roundRect">
          <a:avLst/>
        </a:prstGeom>
        <a:solidFill>
          <a:schemeClr val="tx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117147</xdr:colOff>
      <xdr:row>17</xdr:row>
      <xdr:rowOff>30788</xdr:rowOff>
    </xdr:from>
    <xdr:to>
      <xdr:col>6</xdr:col>
      <xdr:colOff>99213</xdr:colOff>
      <xdr:row>32</xdr:row>
      <xdr:rowOff>15393</xdr:rowOff>
    </xdr:to>
    <xdr:graphicFrame macro="">
      <xdr:nvGraphicFramePr>
        <xdr:cNvPr id="15" name="Chart 14">
          <a:extLst>
            <a:ext uri="{FF2B5EF4-FFF2-40B4-BE49-F238E27FC236}">
              <a16:creationId xmlns:a16="http://schemas.microsoft.com/office/drawing/2014/main" id="{C0EABA5F-A85F-4EFC-9783-1E93BC9BF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132697</xdr:colOff>
      <xdr:row>21</xdr:row>
      <xdr:rowOff>15394</xdr:rowOff>
    </xdr:from>
    <xdr:to>
      <xdr:col>10</xdr:col>
      <xdr:colOff>417487</xdr:colOff>
      <xdr:row>31</xdr:row>
      <xdr:rowOff>15395</xdr:rowOff>
    </xdr:to>
    <xdr:graphicFrame macro="">
      <xdr:nvGraphicFramePr>
        <xdr:cNvPr id="16" name="Chart 15">
          <a:extLst>
            <a:ext uri="{FF2B5EF4-FFF2-40B4-BE49-F238E27FC236}">
              <a16:creationId xmlns:a16="http://schemas.microsoft.com/office/drawing/2014/main" id="{0A42E1E9-BEF6-4965-87EE-828F4C6F0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479060</xdr:colOff>
      <xdr:row>20</xdr:row>
      <xdr:rowOff>1</xdr:rowOff>
    </xdr:from>
    <xdr:to>
      <xdr:col>11</xdr:col>
      <xdr:colOff>0</xdr:colOff>
      <xdr:row>32</xdr:row>
      <xdr:rowOff>15393</xdr:rowOff>
    </xdr:to>
    <xdr:sp macro="" textlink="">
      <xdr:nvSpPr>
        <xdr:cNvPr id="18" name="Rectangle: Rounded Corners 17">
          <a:extLst>
            <a:ext uri="{FF2B5EF4-FFF2-40B4-BE49-F238E27FC236}">
              <a16:creationId xmlns:a16="http://schemas.microsoft.com/office/drawing/2014/main" id="{981FB855-49E1-4B60-8276-5D07B93078BA}"/>
            </a:ext>
          </a:extLst>
        </xdr:cNvPr>
        <xdr:cNvSpPr/>
      </xdr:nvSpPr>
      <xdr:spPr>
        <a:xfrm>
          <a:off x="4127424" y="3694546"/>
          <a:ext cx="2561243" cy="2232120"/>
        </a:xfrm>
        <a:prstGeom prst="round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603441</xdr:colOff>
      <xdr:row>10</xdr:row>
      <xdr:rowOff>1</xdr:rowOff>
    </xdr:from>
    <xdr:to>
      <xdr:col>11</xdr:col>
      <xdr:colOff>0</xdr:colOff>
      <xdr:row>19</xdr:row>
      <xdr:rowOff>1</xdr:rowOff>
    </xdr:to>
    <mc:AlternateContent xmlns:mc="http://schemas.openxmlformats.org/markup-compatibility/2006">
      <mc:Choice xmlns:a14="http://schemas.microsoft.com/office/drawing/2010/main" Requires="a14">
        <xdr:graphicFrame macro="">
          <xdr:nvGraphicFramePr>
            <xdr:cNvPr id="7" name="Department 1">
              <a:extLst>
                <a:ext uri="{FF2B5EF4-FFF2-40B4-BE49-F238E27FC236}">
                  <a16:creationId xmlns:a16="http://schemas.microsoft.com/office/drawing/2014/main" id="{076F0CE1-26C1-4AC2-B960-733D8577E95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251805" y="1847274"/>
              <a:ext cx="2436862" cy="1662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371147</xdr:colOff>
      <xdr:row>10</xdr:row>
      <xdr:rowOff>21535</xdr:rowOff>
    </xdr:from>
    <xdr:to>
      <xdr:col>6</xdr:col>
      <xdr:colOff>0</xdr:colOff>
      <xdr:row>15</xdr:row>
      <xdr:rowOff>0</xdr:rowOff>
    </xdr:to>
    <mc:AlternateContent xmlns:mc="http://schemas.openxmlformats.org/markup-compatibility/2006">
      <mc:Choice xmlns:a14="http://schemas.microsoft.com/office/drawing/2010/main" Requires="a14">
        <xdr:graphicFrame macro="">
          <xdr:nvGraphicFramePr>
            <xdr:cNvPr id="8" name="Gender 1">
              <a:extLst>
                <a:ext uri="{FF2B5EF4-FFF2-40B4-BE49-F238E27FC236}">
                  <a16:creationId xmlns:a16="http://schemas.microsoft.com/office/drawing/2014/main" id="{87A78CCE-ECF7-4C8F-AD6B-8D9A45C1B57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79208" y="1868808"/>
              <a:ext cx="2669156" cy="90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542174</xdr:colOff>
      <xdr:row>10</xdr:row>
      <xdr:rowOff>86864</xdr:rowOff>
    </xdr:from>
    <xdr:to>
      <xdr:col>14</xdr:col>
      <xdr:colOff>546793</xdr:colOff>
      <xdr:row>16</xdr:row>
      <xdr:rowOff>38485</xdr:rowOff>
    </xdr:to>
    <mc:AlternateContent xmlns:mc="http://schemas.openxmlformats.org/markup-compatibility/2006">
      <mc:Choice xmlns:a14="http://schemas.microsoft.com/office/drawing/2010/main" Requires="a14">
        <xdr:graphicFrame macro="">
          <xdr:nvGraphicFramePr>
            <xdr:cNvPr id="9" name="AttritionStatus 1">
              <a:extLst>
                <a:ext uri="{FF2B5EF4-FFF2-40B4-BE49-F238E27FC236}">
                  <a16:creationId xmlns:a16="http://schemas.microsoft.com/office/drawing/2014/main" id="{52F9AD1C-30FF-4FB4-8FC0-10C183F96777}"/>
                </a:ext>
              </a:extLst>
            </xdr:cNvPr>
            <xdr:cNvGraphicFramePr/>
          </xdr:nvGraphicFramePr>
          <xdr:xfrm>
            <a:off x="0" y="0"/>
            <a:ext cx="0" cy="0"/>
          </xdr:xfrm>
          <a:graphic>
            <a:graphicData uri="http://schemas.microsoft.com/office/drawing/2010/slicer">
              <sle:slicer xmlns:sle="http://schemas.microsoft.com/office/drawing/2010/slicer" name="AttritionStatus 1"/>
            </a:graphicData>
          </a:graphic>
        </xdr:graphicFrame>
      </mc:Choice>
      <mc:Fallback>
        <xdr:sp macro="" textlink="">
          <xdr:nvSpPr>
            <xdr:cNvPr id="0" name=""/>
            <xdr:cNvSpPr>
              <a:spLocks noTextEdit="1"/>
            </xdr:cNvSpPr>
          </xdr:nvSpPr>
          <xdr:spPr>
            <a:xfrm>
              <a:off x="7230841" y="1934137"/>
              <a:ext cx="1828800" cy="1059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310342</xdr:colOff>
      <xdr:row>19</xdr:row>
      <xdr:rowOff>1</xdr:rowOff>
    </xdr:from>
    <xdr:to>
      <xdr:col>15</xdr:col>
      <xdr:colOff>246611</xdr:colOff>
      <xdr:row>32</xdr:row>
      <xdr:rowOff>92364</xdr:rowOff>
    </xdr:to>
    <xdr:graphicFrame macro="">
      <xdr:nvGraphicFramePr>
        <xdr:cNvPr id="11" name="Chart 10">
          <a:extLst>
            <a:ext uri="{FF2B5EF4-FFF2-40B4-BE49-F238E27FC236}">
              <a16:creationId xmlns:a16="http://schemas.microsoft.com/office/drawing/2014/main" id="{9B1DFD9C-A175-427E-9778-50F45A3EE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229139</xdr:colOff>
      <xdr:row>18</xdr:row>
      <xdr:rowOff>1</xdr:rowOff>
    </xdr:from>
    <xdr:to>
      <xdr:col>15</xdr:col>
      <xdr:colOff>358140</xdr:colOff>
      <xdr:row>32</xdr:row>
      <xdr:rowOff>15393</xdr:rowOff>
    </xdr:to>
    <xdr:sp macro="" textlink="">
      <xdr:nvSpPr>
        <xdr:cNvPr id="17" name="Rectangle: Rounded Corners 16">
          <a:extLst>
            <a:ext uri="{FF2B5EF4-FFF2-40B4-BE49-F238E27FC236}">
              <a16:creationId xmlns:a16="http://schemas.microsoft.com/office/drawing/2014/main" id="{FDE2FABB-B675-444D-AD8E-6EF7EF12C874}"/>
            </a:ext>
          </a:extLst>
        </xdr:cNvPr>
        <xdr:cNvSpPr/>
      </xdr:nvSpPr>
      <xdr:spPr>
        <a:xfrm>
          <a:off x="6917806" y="3325092"/>
          <a:ext cx="2561243" cy="2601574"/>
        </a:xfrm>
        <a:prstGeom prst="roundRect">
          <a:avLst/>
        </a:prstGeom>
        <a:no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6.500271874997" backgroundQuery="1" createdVersion="8" refreshedVersion="8" minRefreshableVersion="3" recordCount="0" supportSubquery="1" supportAdvancedDrill="1" xr:uid="{CBD87426-E53D-4A6C-BD16-69765733FDEC}">
  <cacheSource type="external" connectionId="1"/>
  <cacheFields count="5">
    <cacheField name="[Range 2].[Department].[Department]" caption="Department" numFmtId="0" hierarchy="17" level="1">
      <sharedItems count="6">
        <s v="Finance"/>
        <s v="HR"/>
        <s v="IT"/>
        <s v="Marketing"/>
        <s v="Operations"/>
        <s v="Sales"/>
      </sharedItems>
    </cacheField>
    <cacheField name="[Measures].[Sum of Average Salary]" caption="Sum of Average Salary" numFmtId="0" hierarchy="32" level="32767"/>
    <cacheField name="[Measures].[Sum of Max Salary]" caption="Sum of Max Salary" numFmtId="0" hierarchy="33" level="32767"/>
    <cacheField name="[Measures].[Sum of Min Salary]" caption="Sum of Min Salary" numFmtId="0" hierarchy="34" level="32767"/>
    <cacheField name="[Range 2].[Gender].[Gender]" caption="Gender" numFmtId="0" hierarchy="16" level="1">
      <sharedItems containsSemiMixedTypes="0" containsNonDate="0" containsString="0"/>
    </cacheField>
  </cacheFields>
  <cacheHierarchies count="36">
    <cacheHierarchy uniqueName="[Range].[EmployeeID]" caption="EmployeeID" attribute="1" defaultMemberUniqueName="[Range].[EmployeeID].[All]" allUniqueName="[Range].[Employee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AttritionStatus]" caption="AttritionStatus" attribute="1" defaultMemberUniqueName="[Range].[AttritionStatus].[All]" allUniqueName="[Range].[AttritionStatus].[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Age]" caption="Age" attribute="1" defaultMemberUniqueName="[Range 1].[Age].[All]" allUniqueName="[Range 1].[Age].[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130" unbalanced="0"/>
    <cacheHierarchy uniqueName="[Range 1].[AttritionStatus]" caption="AttritionStatus" attribute="1" defaultMemberUniqueName="[Range 1].[AttritionStatus].[All]" allUniqueName="[Range 1].[AttritionStatus].[All]" dimensionUniqueName="[Range 1]" displayFolder="" count="0" memberValueDatatype="130" unbalanced="0"/>
    <cacheHierarchy uniqueName="[Range 1].[Age Group]" caption="Age Group" attribute="1" defaultMemberUniqueName="[Range 1].[Age Group].[All]" allUniqueName="[Range 1].[Age Group].[All]" dimensionUniqueName="[Range 1]" displayFolder="" count="0" memberValueDatatype="130" unbalanced="0"/>
    <cacheHierarchy uniqueName="[Range 2].[EmployeeID]" caption="EmployeeID" attribute="1" defaultMemberUniqueName="[Range 2].[EmployeeID].[All]" allUniqueName="[Range 2].[Employee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Range 2].[Gender]" caption="Gender" attribute="1" defaultMemberUniqueName="[Range 2].[Gender].[All]" allUniqueName="[Range 2].[Gender].[All]" dimensionUniqueName="[Range 2]" displayFolder="" count="2" memberValueDatatype="130" unbalanced="0">
      <fieldsUsage count="2">
        <fieldUsage x="-1"/>
        <fieldUsage x="4"/>
      </fieldsUsage>
    </cacheHierarchy>
    <cacheHierarchy uniqueName="[Range 2].[Department]" caption="Department" attribute="1" defaultMemberUniqueName="[Range 2].[Department].[All]" allUniqueName="[Range 2].[Department].[All]" dimensionUniqueName="[Range 2]" displayFolder="" count="2" memberValueDatatype="130" unbalanced="0">
      <fieldsUsage count="2">
        <fieldUsage x="-1"/>
        <fieldUsage x="0"/>
      </fieldsUsage>
    </cacheHierarchy>
    <cacheHierarchy uniqueName="[Range 2].[Salary]" caption="Salary" attribute="1" defaultMemberUniqueName="[Range 2].[Salary].[All]" allUniqueName="[Range 2].[Salary].[All]" dimensionUniqueName="[Range 2]" displayFolder="" count="0" memberValueDatatype="130" unbalanced="0"/>
    <cacheHierarchy uniqueName="[Range 2].[AttritionStatus]" caption="AttritionStatus" attribute="1" defaultMemberUniqueName="[Range 2].[AttritionStatus].[All]" allUniqueName="[Range 2].[AttritionStatus].[All]" dimensionUniqueName="[Range 2]" displayFolder="" count="0" memberValueDatatype="130" unbalanced="0"/>
    <cacheHierarchy uniqueName="[Range 2].[Age Group]" caption="Age Group" attribute="1" defaultMemberUniqueName="[Range 2].[Age Group].[All]" allUniqueName="[Range 2].[Age Group].[All]" dimensionUniqueName="[Range 2]" displayFolder="" count="0" memberValueDatatype="130" unbalanced="0"/>
    <cacheHierarchy uniqueName="[Range 2].[Average Salary]" caption="Average Salary" attribute="1" defaultMemberUniqueName="[Range 2].[Average Salary].[All]" allUniqueName="[Range 2].[Average Salary].[All]" dimensionUniqueName="[Range 2]" displayFolder="" count="0" memberValueDatatype="5" unbalanced="0"/>
    <cacheHierarchy uniqueName="[Range 2].[Max Salary]" caption="Max Salary" attribute="1" defaultMemberUniqueName="[Range 2].[Max Salary].[All]" allUniqueName="[Range 2].[Max Salary].[All]" dimensionUniqueName="[Range 2]" displayFolder="" count="0" memberValueDatatype="20" unbalanced="0"/>
    <cacheHierarchy uniqueName="[Range 2].[Min Salary]" caption="Min Salary" attribute="1" defaultMemberUniqueName="[Range 2].[Min Salary].[All]" allUniqueName="[Range 2].[Min Salary].[All]" dimensionUniqueName="[Range 2]" displayFolder="" count="0" memberValueDatatype="20" unbalanced="0"/>
    <cacheHierarchy uniqueName="[Range 3].[AttritionStatus]" caption="AttritionStatus" attribute="1" defaultMemberUniqueName="[Range 3].[AttritionStatus].[All]" allUniqueName="[Range 3].[AttritionStatu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Sum of Average Salary]" caption="Sum of Average Salary" measure="1" displayFolder="" measureGroup="Range 2"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Max Salary]" caption="Sum of Max Salary" measure="1" displayFolder="" measureGroup="Range 2"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Min Salary]" caption="Sum of Min Salary" measure="1" displayFolder="" measureGroup="Range 2" count="0" oneField="1" hidden="1">
      <fieldsUsage count="1">
        <fieldUsage x="3"/>
      </fieldsUsage>
      <extLst>
        <ext xmlns:x15="http://schemas.microsoft.com/office/spreadsheetml/2010/11/main" uri="{B97F6D7D-B522-45F9-BDA1-12C45D357490}">
          <x15:cacheHierarchy aggregatedColumn="23"/>
        </ext>
      </extLst>
    </cacheHierarchy>
    <cacheHierarchy uniqueName="[Measures].[Count of AttritionStatus]" caption="Count of AttritionStatus" measure="1" displayFolder="" measureGroup="Range 3"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6.500274189813" backgroundQuery="1" createdVersion="8" refreshedVersion="8" minRefreshableVersion="3" recordCount="0" supportSubquery="1" supportAdvancedDrill="1" xr:uid="{E84428B8-55AD-4660-85CB-1C8E26517315}">
  <cacheSource type="external" connectionId="1"/>
  <cacheFields count="3">
    <cacheField name="[Range].[Age Group].[Age Group]" caption="Age Group" numFmtId="0" hierarchy="6" level="1">
      <sharedItems count="4">
        <s v="22-30"/>
        <s v="31-40"/>
        <s v="41-50"/>
        <s v="51-60"/>
      </sharedItems>
    </cacheField>
    <cacheField name="[Measures].[Count of EmployeeID]" caption="Count of EmployeeID" numFmtId="0" hierarchy="30" level="32767"/>
    <cacheField name="[Range 2].[Gender].[Gender]" caption="Gender" numFmtId="0" hierarchy="16" level="1">
      <sharedItems containsSemiMixedTypes="0" containsNonDate="0" containsString="0"/>
    </cacheField>
  </cacheFields>
  <cacheHierarchies count="36">
    <cacheHierarchy uniqueName="[Range].[EmployeeID]" caption="EmployeeID" attribute="1" defaultMemberUniqueName="[Range].[EmployeeID].[All]" allUniqueName="[Range].[Employee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AttritionStatus]" caption="AttritionStatus" attribute="1" defaultMemberUniqueName="[Range].[AttritionStatus].[All]" allUniqueName="[Range].[AttritionStatus].[All]" dimensionUniqueName="[Range]" displayFolder="" count="0" memberValueDatatype="13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0"/>
      </fieldsUsage>
    </cacheHierarchy>
    <cacheHierarchy uniqueName="[Range 1].[EmployeeID]" caption="EmployeeID" attribute="1" defaultMemberUniqueName="[Range 1].[EmployeeID].[All]" allUniqueName="[Range 1].[EmployeeID].[All]" dimensionUniqueName="[Range 1]" displayFolder="" count="0" memberValueDatatype="130" unbalanced="0"/>
    <cacheHierarchy uniqueName="[Range 1].[Age]" caption="Age" attribute="1" defaultMemberUniqueName="[Range 1].[Age].[All]" allUniqueName="[Range 1].[Age].[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130" unbalanced="0"/>
    <cacheHierarchy uniqueName="[Range 1].[AttritionStatus]" caption="AttritionStatus" attribute="1" defaultMemberUniqueName="[Range 1].[AttritionStatus].[All]" allUniqueName="[Range 1].[AttritionStatus].[All]" dimensionUniqueName="[Range 1]" displayFolder="" count="0" memberValueDatatype="130" unbalanced="0"/>
    <cacheHierarchy uniqueName="[Range 1].[Age Group]" caption="Age Group" attribute="1" defaultMemberUniqueName="[Range 1].[Age Group].[All]" allUniqueName="[Range 1].[Age Group].[All]" dimensionUniqueName="[Range 1]" displayFolder="" count="0" memberValueDatatype="130" unbalanced="0"/>
    <cacheHierarchy uniqueName="[Range 2].[EmployeeID]" caption="EmployeeID" attribute="1" defaultMemberUniqueName="[Range 2].[EmployeeID].[All]" allUniqueName="[Range 2].[Employee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Range 2].[Gender]" caption="Gender" attribute="1" defaultMemberUniqueName="[Range 2].[Gender].[All]" allUniqueName="[Range 2].[Gender].[All]" dimensionUniqueName="[Range 2]" displayFolder="" count="2" memberValueDatatype="130" unbalanced="0">
      <fieldsUsage count="2">
        <fieldUsage x="-1"/>
        <fieldUsage x="2"/>
      </fieldsUsage>
    </cacheHierarchy>
    <cacheHierarchy uniqueName="[Range 2].[Department]" caption="Department" attribute="1" defaultMemberUniqueName="[Range 2].[Department].[All]" allUniqueName="[Range 2].[Department].[All]" dimensionUniqueName="[Range 2]" displayFolder="" count="2" memberValueDatatype="130" unbalanced="0"/>
    <cacheHierarchy uniqueName="[Range 2].[Salary]" caption="Salary" attribute="1" defaultMemberUniqueName="[Range 2].[Salary].[All]" allUniqueName="[Range 2].[Salary].[All]" dimensionUniqueName="[Range 2]" displayFolder="" count="0" memberValueDatatype="130" unbalanced="0"/>
    <cacheHierarchy uniqueName="[Range 2].[AttritionStatus]" caption="AttritionStatus" attribute="1" defaultMemberUniqueName="[Range 2].[AttritionStatus].[All]" allUniqueName="[Range 2].[AttritionStatus].[All]" dimensionUniqueName="[Range 2]" displayFolder="" count="0" memberValueDatatype="130" unbalanced="0"/>
    <cacheHierarchy uniqueName="[Range 2].[Age Group]" caption="Age Group" attribute="1" defaultMemberUniqueName="[Range 2].[Age Group].[All]" allUniqueName="[Range 2].[Age Group].[All]" dimensionUniqueName="[Range 2]" displayFolder="" count="0" memberValueDatatype="130" unbalanced="0"/>
    <cacheHierarchy uniqueName="[Range 2].[Average Salary]" caption="Average Salary" attribute="1" defaultMemberUniqueName="[Range 2].[Average Salary].[All]" allUniqueName="[Range 2].[Average Salary].[All]" dimensionUniqueName="[Range 2]" displayFolder="" count="0" memberValueDatatype="5" unbalanced="0"/>
    <cacheHierarchy uniqueName="[Range 2].[Max Salary]" caption="Max Salary" attribute="1" defaultMemberUniqueName="[Range 2].[Max Salary].[All]" allUniqueName="[Range 2].[Max Salary].[All]" dimensionUniqueName="[Range 2]" displayFolder="" count="0" memberValueDatatype="20" unbalanced="0"/>
    <cacheHierarchy uniqueName="[Range 2].[Min Salary]" caption="Min Salary" attribute="1" defaultMemberUniqueName="[Range 2].[Min Salary].[All]" allUniqueName="[Range 2].[Min Salary].[All]" dimensionUniqueName="[Range 2]" displayFolder="" count="0" memberValueDatatype="20" unbalanced="0"/>
    <cacheHierarchy uniqueName="[Range 3].[AttritionStatus]" caption="AttritionStatus" attribute="1" defaultMemberUniqueName="[Range 3].[AttritionStatus].[All]" allUniqueName="[Range 3].[AttritionStatu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Sum of Average Salary]" caption="Sum of Average Salary" measure="1" displayFolder="" measureGroup="Range 2" count="0" hidden="1">
      <extLst>
        <ext xmlns:x15="http://schemas.microsoft.com/office/spreadsheetml/2010/11/main" uri="{B97F6D7D-B522-45F9-BDA1-12C45D357490}">
          <x15:cacheHierarchy aggregatedColumn="21"/>
        </ext>
      </extLst>
    </cacheHierarchy>
    <cacheHierarchy uniqueName="[Measures].[Sum of Max Salary]" caption="Sum of Max Salary" measure="1" displayFolder="" measureGroup="Range 2" count="0" hidden="1">
      <extLst>
        <ext xmlns:x15="http://schemas.microsoft.com/office/spreadsheetml/2010/11/main" uri="{B97F6D7D-B522-45F9-BDA1-12C45D357490}">
          <x15:cacheHierarchy aggregatedColumn="22"/>
        </ext>
      </extLst>
    </cacheHierarchy>
    <cacheHierarchy uniqueName="[Measures].[Sum of Min Salary]" caption="Sum of Min Salary" measure="1" displayFolder="" measureGroup="Range 2" count="0" hidden="1">
      <extLst>
        <ext xmlns:x15="http://schemas.microsoft.com/office/spreadsheetml/2010/11/main" uri="{B97F6D7D-B522-45F9-BDA1-12C45D357490}">
          <x15:cacheHierarchy aggregatedColumn="23"/>
        </ext>
      </extLst>
    </cacheHierarchy>
    <cacheHierarchy uniqueName="[Measures].[Count of AttritionStatus]" caption="Count of AttritionStatus" measure="1" displayFolder="" measureGroup="Range 3"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6.500273495367" backgroundQuery="1" createdVersion="8" refreshedVersion="8" minRefreshableVersion="3" recordCount="0" supportSubquery="1" supportAdvancedDrill="1" xr:uid="{B1C1BFDC-B396-47E3-B72A-6F88282E5400}">
  <cacheSource type="external" connectionId="1"/>
  <cacheFields count="4">
    <cacheField name="[Range].[Gender].[Gender]" caption="Gender" numFmtId="0" hierarchy="2" level="1">
      <sharedItems count="2">
        <s v="Female"/>
        <s v="Male"/>
      </sharedItems>
    </cacheField>
    <cacheField name="[Range].[AttritionStatus].[AttritionStatus]" caption="AttritionStatus" numFmtId="0" hierarchy="5" level="1">
      <sharedItems count="2">
        <s v="No"/>
        <s v="Yes"/>
      </sharedItems>
    </cacheField>
    <cacheField name="[Measures].[Count of EmployeeID]" caption="Count of EmployeeID" numFmtId="0" hierarchy="30" level="32767"/>
    <cacheField name="[Range 2].[Gender].[Gender]" caption="Gender" numFmtId="0" hierarchy="16" level="1">
      <sharedItems containsSemiMixedTypes="0" containsNonDate="0" containsString="0"/>
    </cacheField>
  </cacheFields>
  <cacheHierarchies count="36">
    <cacheHierarchy uniqueName="[Range].[EmployeeID]" caption="EmployeeID" attribute="1" defaultMemberUniqueName="[Range].[EmployeeID].[All]" allUniqueName="[Range].[Employee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AttritionStatus]" caption="AttritionStatus" attribute="1" defaultMemberUniqueName="[Range].[AttritionStatus].[All]" allUniqueName="[Range].[AttritionStatus].[All]" dimensionUniqueName="[Range]" displayFolder="" count="2" memberValueDatatype="130" unbalanced="0">
      <fieldsUsage count="2">
        <fieldUsage x="-1"/>
        <fieldUsage x="1"/>
      </fieldsUsage>
    </cacheHierarchy>
    <cacheHierarchy uniqueName="[Range].[Age Group]" caption="Age Group" attribute="1" defaultMemberUniqueName="[Range].[Age Group].[All]" allUniqueName="[Range].[Age Group].[All]" dimensionUniqueName="[Range]"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Age]" caption="Age" attribute="1" defaultMemberUniqueName="[Range 1].[Age].[All]" allUniqueName="[Range 1].[Age].[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130" unbalanced="0"/>
    <cacheHierarchy uniqueName="[Range 1].[AttritionStatus]" caption="AttritionStatus" attribute="1" defaultMemberUniqueName="[Range 1].[AttritionStatus].[All]" allUniqueName="[Range 1].[AttritionStatus].[All]" dimensionUniqueName="[Range 1]" displayFolder="" count="0" memberValueDatatype="130" unbalanced="0"/>
    <cacheHierarchy uniqueName="[Range 1].[Age Group]" caption="Age Group" attribute="1" defaultMemberUniqueName="[Range 1].[Age Group].[All]" allUniqueName="[Range 1].[Age Group].[All]" dimensionUniqueName="[Range 1]" displayFolder="" count="0" memberValueDatatype="130" unbalanced="0"/>
    <cacheHierarchy uniqueName="[Range 2].[EmployeeID]" caption="EmployeeID" attribute="1" defaultMemberUniqueName="[Range 2].[EmployeeID].[All]" allUniqueName="[Range 2].[Employee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Range 2].[Gender]" caption="Gender" attribute="1" defaultMemberUniqueName="[Range 2].[Gender].[All]" allUniqueName="[Range 2].[Gender].[All]" dimensionUniqueName="[Range 2]" displayFolder="" count="2" memberValueDatatype="130" unbalanced="0">
      <fieldsUsage count="2">
        <fieldUsage x="-1"/>
        <fieldUsage x="3"/>
      </fieldsUsage>
    </cacheHierarchy>
    <cacheHierarchy uniqueName="[Range 2].[Department]" caption="Department" attribute="1" defaultMemberUniqueName="[Range 2].[Department].[All]" allUniqueName="[Range 2].[Department].[All]" dimensionUniqueName="[Range 2]" displayFolder="" count="2" memberValueDatatype="130" unbalanced="0"/>
    <cacheHierarchy uniqueName="[Range 2].[Salary]" caption="Salary" attribute="1" defaultMemberUniqueName="[Range 2].[Salary].[All]" allUniqueName="[Range 2].[Salary].[All]" dimensionUniqueName="[Range 2]" displayFolder="" count="0" memberValueDatatype="130" unbalanced="0"/>
    <cacheHierarchy uniqueName="[Range 2].[AttritionStatus]" caption="AttritionStatus" attribute="1" defaultMemberUniqueName="[Range 2].[AttritionStatus].[All]" allUniqueName="[Range 2].[AttritionStatus].[All]" dimensionUniqueName="[Range 2]" displayFolder="" count="0" memberValueDatatype="130" unbalanced="0"/>
    <cacheHierarchy uniqueName="[Range 2].[Age Group]" caption="Age Group" attribute="1" defaultMemberUniqueName="[Range 2].[Age Group].[All]" allUniqueName="[Range 2].[Age Group].[All]" dimensionUniqueName="[Range 2]" displayFolder="" count="0" memberValueDatatype="130" unbalanced="0"/>
    <cacheHierarchy uniqueName="[Range 2].[Average Salary]" caption="Average Salary" attribute="1" defaultMemberUniqueName="[Range 2].[Average Salary].[All]" allUniqueName="[Range 2].[Average Salary].[All]" dimensionUniqueName="[Range 2]" displayFolder="" count="0" memberValueDatatype="5" unbalanced="0"/>
    <cacheHierarchy uniqueName="[Range 2].[Max Salary]" caption="Max Salary" attribute="1" defaultMemberUniqueName="[Range 2].[Max Salary].[All]" allUniqueName="[Range 2].[Max Salary].[All]" dimensionUniqueName="[Range 2]" displayFolder="" count="0" memberValueDatatype="20" unbalanced="0"/>
    <cacheHierarchy uniqueName="[Range 2].[Min Salary]" caption="Min Salary" attribute="1" defaultMemberUniqueName="[Range 2].[Min Salary].[All]" allUniqueName="[Range 2].[Min Salary].[All]" dimensionUniqueName="[Range 2]" displayFolder="" count="0" memberValueDatatype="20" unbalanced="0"/>
    <cacheHierarchy uniqueName="[Range 3].[AttritionStatus]" caption="AttritionStatus" attribute="1" defaultMemberUniqueName="[Range 3].[AttritionStatus].[All]" allUniqueName="[Range 3].[AttritionStatu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Sum of Average Salary]" caption="Sum of Average Salary" measure="1" displayFolder="" measureGroup="Range 2" count="0" hidden="1">
      <extLst>
        <ext xmlns:x15="http://schemas.microsoft.com/office/spreadsheetml/2010/11/main" uri="{B97F6D7D-B522-45F9-BDA1-12C45D357490}">
          <x15:cacheHierarchy aggregatedColumn="21"/>
        </ext>
      </extLst>
    </cacheHierarchy>
    <cacheHierarchy uniqueName="[Measures].[Sum of Max Salary]" caption="Sum of Max Salary" measure="1" displayFolder="" measureGroup="Range 2" count="0" hidden="1">
      <extLst>
        <ext xmlns:x15="http://schemas.microsoft.com/office/spreadsheetml/2010/11/main" uri="{B97F6D7D-B522-45F9-BDA1-12C45D357490}">
          <x15:cacheHierarchy aggregatedColumn="22"/>
        </ext>
      </extLst>
    </cacheHierarchy>
    <cacheHierarchy uniqueName="[Measures].[Sum of Min Salary]" caption="Sum of Min Salary" measure="1" displayFolder="" measureGroup="Range 2" count="0" hidden="1">
      <extLst>
        <ext xmlns:x15="http://schemas.microsoft.com/office/spreadsheetml/2010/11/main" uri="{B97F6D7D-B522-45F9-BDA1-12C45D357490}">
          <x15:cacheHierarchy aggregatedColumn="23"/>
        </ext>
      </extLst>
    </cacheHierarchy>
    <cacheHierarchy uniqueName="[Measures].[Count of AttritionStatus]" caption="Count of AttritionStatus" measure="1" displayFolder="" measureGroup="Range 3"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6.498850115742" backgroundQuery="1" createdVersion="8" refreshedVersion="8" minRefreshableVersion="3" recordCount="0" supportSubquery="1" supportAdvancedDrill="1" xr:uid="{EB98F71B-7E19-44CB-A900-0468B57ECA3C}">
  <cacheSource type="external" connectionId="1"/>
  <cacheFields count="2">
    <cacheField name="[Range 3].[AttritionStatus].[AttritionStatus]" caption="AttritionStatus" numFmtId="0" hierarchy="24" level="1">
      <sharedItems count="2">
        <s v="No"/>
        <s v="Yes"/>
      </sharedItems>
    </cacheField>
    <cacheField name="[Measures].[Count of AttritionStatus]" caption="Count of AttritionStatus" numFmtId="0" hierarchy="35" level="32767"/>
  </cacheFields>
  <cacheHierarchies count="36">
    <cacheHierarchy uniqueName="[Range].[EmployeeID]" caption="EmployeeID" attribute="1" defaultMemberUniqueName="[Range].[EmployeeID].[All]" allUniqueName="[Range].[Employee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AttritionStatus]" caption="AttritionStatus" attribute="1" defaultMemberUniqueName="[Range].[AttritionStatus].[All]" allUniqueName="[Range].[AttritionStatus].[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Age]" caption="Age" attribute="1" defaultMemberUniqueName="[Range 1].[Age].[All]" allUniqueName="[Range 1].[Age].[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130" unbalanced="0"/>
    <cacheHierarchy uniqueName="[Range 1].[AttritionStatus]" caption="AttritionStatus" attribute="1" defaultMemberUniqueName="[Range 1].[AttritionStatus].[All]" allUniqueName="[Range 1].[AttritionStatus].[All]" dimensionUniqueName="[Range 1]" displayFolder="" count="0" memberValueDatatype="130" unbalanced="0"/>
    <cacheHierarchy uniqueName="[Range 1].[Age Group]" caption="Age Group" attribute="1" defaultMemberUniqueName="[Range 1].[Age Group].[All]" allUniqueName="[Range 1].[Age Group].[All]" dimensionUniqueName="[Range 1]" displayFolder="" count="0" memberValueDatatype="130" unbalanced="0"/>
    <cacheHierarchy uniqueName="[Range 2].[EmployeeID]" caption="EmployeeID" attribute="1" defaultMemberUniqueName="[Range 2].[EmployeeID].[All]" allUniqueName="[Range 2].[Employee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Range 2].[Gender]" caption="Gender" attribute="1" defaultMemberUniqueName="[Range 2].[Gender].[All]" allUniqueName="[Range 2].[Gender].[All]" dimensionUniqueName="[Range 2]" displayFolder="" count="0"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130" unbalanced="0"/>
    <cacheHierarchy uniqueName="[Range 2].[AttritionStatus]" caption="AttritionStatus" attribute="1" defaultMemberUniqueName="[Range 2].[AttritionStatus].[All]" allUniqueName="[Range 2].[AttritionStatus].[All]" dimensionUniqueName="[Range 2]" displayFolder="" count="0" memberValueDatatype="130" unbalanced="0"/>
    <cacheHierarchy uniqueName="[Range 2].[Age Group]" caption="Age Group" attribute="1" defaultMemberUniqueName="[Range 2].[Age Group].[All]" allUniqueName="[Range 2].[Age Group].[All]" dimensionUniqueName="[Range 2]" displayFolder="" count="0" memberValueDatatype="130" unbalanced="0"/>
    <cacheHierarchy uniqueName="[Range 2].[Average Salary]" caption="Average Salary" attribute="1" defaultMemberUniqueName="[Range 2].[Average Salary].[All]" allUniqueName="[Range 2].[Average Salary].[All]" dimensionUniqueName="[Range 2]" displayFolder="" count="0" memberValueDatatype="5" unbalanced="0"/>
    <cacheHierarchy uniqueName="[Range 2].[Max Salary]" caption="Max Salary" attribute="1" defaultMemberUniqueName="[Range 2].[Max Salary].[All]" allUniqueName="[Range 2].[Max Salary].[All]" dimensionUniqueName="[Range 2]" displayFolder="" count="0" memberValueDatatype="20" unbalanced="0"/>
    <cacheHierarchy uniqueName="[Range 2].[Min Salary]" caption="Min Salary" attribute="1" defaultMemberUniqueName="[Range 2].[Min Salary].[All]" allUniqueName="[Range 2].[Min Salary].[All]" dimensionUniqueName="[Range 2]" displayFolder="" count="0" memberValueDatatype="20" unbalanced="0"/>
    <cacheHierarchy uniqueName="[Range 3].[AttritionStatus]" caption="AttritionStatus" attribute="1" defaultMemberUniqueName="[Range 3].[AttritionStatus].[All]" allUniqueName="[Range 3].[AttritionStatus].[All]" dimensionUniqueName="[Range 3]"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Sum of Average Salary]" caption="Sum of Average Salary" measure="1" displayFolder="" measureGroup="Range 2" count="0" hidden="1">
      <extLst>
        <ext xmlns:x15="http://schemas.microsoft.com/office/spreadsheetml/2010/11/main" uri="{B97F6D7D-B522-45F9-BDA1-12C45D357490}">
          <x15:cacheHierarchy aggregatedColumn="21"/>
        </ext>
      </extLst>
    </cacheHierarchy>
    <cacheHierarchy uniqueName="[Measures].[Sum of Max Salary]" caption="Sum of Max Salary" measure="1" displayFolder="" measureGroup="Range 2" count="0" hidden="1">
      <extLst>
        <ext xmlns:x15="http://schemas.microsoft.com/office/spreadsheetml/2010/11/main" uri="{B97F6D7D-B522-45F9-BDA1-12C45D357490}">
          <x15:cacheHierarchy aggregatedColumn="22"/>
        </ext>
      </extLst>
    </cacheHierarchy>
    <cacheHierarchy uniqueName="[Measures].[Sum of Min Salary]" caption="Sum of Min Salary" measure="1" displayFolder="" measureGroup="Range 2" count="0" hidden="1">
      <extLst>
        <ext xmlns:x15="http://schemas.microsoft.com/office/spreadsheetml/2010/11/main" uri="{B97F6D7D-B522-45F9-BDA1-12C45D357490}">
          <x15:cacheHierarchy aggregatedColumn="23"/>
        </ext>
      </extLst>
    </cacheHierarchy>
    <cacheHierarchy uniqueName="[Measures].[Count of AttritionStatus]" caption="Count of AttritionStatus" measure="1" displayFolder="" measureGroup="Range 3" count="0" oneField="1" hidden="1">
      <fieldsUsage count="1">
        <fieldUsage x="1"/>
      </fieldsUsage>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6.507825925924" backgroundQuery="1" createdVersion="8" refreshedVersion="8" minRefreshableVersion="3" recordCount="0" supportSubquery="1" supportAdvancedDrill="1" xr:uid="{6C802297-E14A-4EFE-B4A6-6545EA4D4EF3}">
  <cacheSource type="external" connectionId="1"/>
  <cacheFields count="4">
    <cacheField name="[Measures].[Count of EmployeeID]" caption="Count of EmployeeID" numFmtId="0" hierarchy="30" level="32767"/>
    <cacheField name="[Range].[Department].[Department]" caption="Department" numFmtId="0" hierarchy="3" level="1">
      <sharedItems count="6">
        <s v="Finance"/>
        <s v="HR"/>
        <s v="IT"/>
        <s v="Marketing"/>
        <s v="Operations"/>
        <s v="Sales"/>
      </sharedItems>
    </cacheField>
    <cacheField name="[Range].[AttritionStatus].[AttritionStatus]" caption="AttritionStatus" numFmtId="0" hierarchy="5" level="1">
      <sharedItems count="2">
        <s v="Yes"/>
        <s v="No" u="1"/>
      </sharedItems>
    </cacheField>
    <cacheField name="[Range 2].[Gender].[Gender]" caption="Gender" numFmtId="0" hierarchy="16" level="1">
      <sharedItems containsSemiMixedTypes="0" containsNonDate="0" containsString="0"/>
    </cacheField>
  </cacheFields>
  <cacheHierarchies count="36">
    <cacheHierarchy uniqueName="[Range].[EmployeeID]" caption="EmployeeID" attribute="1" defaultMemberUniqueName="[Range].[EmployeeID].[All]" allUniqueName="[Range].[Employee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Salary]" caption="Salary" attribute="1" defaultMemberUniqueName="[Range].[Salary].[All]" allUniqueName="[Range].[Salary].[All]" dimensionUniqueName="[Range]" displayFolder="" count="0" memberValueDatatype="20" unbalanced="0"/>
    <cacheHierarchy uniqueName="[Range].[AttritionStatus]" caption="AttritionStatus" attribute="1" defaultMemberUniqueName="[Range].[AttritionStatus].[All]" allUniqueName="[Range].[AttritionStatus].[All]" dimensionUniqueName="[Range]" displayFolder="" count="2" memberValueDatatype="130" unbalanced="0">
      <fieldsUsage count="2">
        <fieldUsage x="-1"/>
        <fieldUsage x="2"/>
      </fieldsUsage>
    </cacheHierarchy>
    <cacheHierarchy uniqueName="[Range].[Age Group]" caption="Age Group" attribute="1" defaultMemberUniqueName="[Range].[Age Group].[All]" allUniqueName="[Range].[Age Group].[All]" dimensionUniqueName="[Range]"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Age]" caption="Age" attribute="1" defaultMemberUniqueName="[Range 1].[Age].[All]" allUniqueName="[Range 1].[Age].[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130" unbalanced="0"/>
    <cacheHierarchy uniqueName="[Range 1].[AttritionStatus]" caption="AttritionStatus" attribute="1" defaultMemberUniqueName="[Range 1].[AttritionStatus].[All]" allUniqueName="[Range 1].[AttritionStatus].[All]" dimensionUniqueName="[Range 1]" displayFolder="" count="0" memberValueDatatype="130" unbalanced="0"/>
    <cacheHierarchy uniqueName="[Range 1].[Age Group]" caption="Age Group" attribute="1" defaultMemberUniqueName="[Range 1].[Age Group].[All]" allUniqueName="[Range 1].[Age Group].[All]" dimensionUniqueName="[Range 1]" displayFolder="" count="0" memberValueDatatype="130" unbalanced="0"/>
    <cacheHierarchy uniqueName="[Range 2].[EmployeeID]" caption="EmployeeID" attribute="1" defaultMemberUniqueName="[Range 2].[EmployeeID].[All]" allUniqueName="[Range 2].[Employee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Range 2].[Gender]" caption="Gender" attribute="1" defaultMemberUniqueName="[Range 2].[Gender].[All]" allUniqueName="[Range 2].[Gender].[All]" dimensionUniqueName="[Range 2]" displayFolder="" count="2" memberValueDatatype="130" unbalanced="0">
      <fieldsUsage count="2">
        <fieldUsage x="-1"/>
        <fieldUsage x="3"/>
      </fieldsUsage>
    </cacheHierarchy>
    <cacheHierarchy uniqueName="[Range 2].[Department]" caption="Department" attribute="1" defaultMemberUniqueName="[Range 2].[Department].[All]" allUniqueName="[Range 2].[Department].[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130" unbalanced="0"/>
    <cacheHierarchy uniqueName="[Range 2].[AttritionStatus]" caption="AttritionStatus" attribute="1" defaultMemberUniqueName="[Range 2].[AttritionStatus].[All]" allUniqueName="[Range 2].[AttritionStatus].[All]" dimensionUniqueName="[Range 2]" displayFolder="" count="0" memberValueDatatype="130" unbalanced="0"/>
    <cacheHierarchy uniqueName="[Range 2].[Age Group]" caption="Age Group" attribute="1" defaultMemberUniqueName="[Range 2].[Age Group].[All]" allUniqueName="[Range 2].[Age Group].[All]" dimensionUniqueName="[Range 2]" displayFolder="" count="0" memberValueDatatype="130" unbalanced="0"/>
    <cacheHierarchy uniqueName="[Range 2].[Average Salary]" caption="Average Salary" attribute="1" defaultMemberUniqueName="[Range 2].[Average Salary].[All]" allUniqueName="[Range 2].[Average Salary].[All]" dimensionUniqueName="[Range 2]" displayFolder="" count="0" memberValueDatatype="5" unbalanced="0"/>
    <cacheHierarchy uniqueName="[Range 2].[Max Salary]" caption="Max Salary" attribute="1" defaultMemberUniqueName="[Range 2].[Max Salary].[All]" allUniqueName="[Range 2].[Max Salary].[All]" dimensionUniqueName="[Range 2]" displayFolder="" count="0" memberValueDatatype="20" unbalanced="0"/>
    <cacheHierarchy uniqueName="[Range 2].[Min Salary]" caption="Min Salary" attribute="1" defaultMemberUniqueName="[Range 2].[Min Salary].[All]" allUniqueName="[Range 2].[Min Salary].[All]" dimensionUniqueName="[Range 2]" displayFolder="" count="0" memberValueDatatype="20" unbalanced="0"/>
    <cacheHierarchy uniqueName="[Range 3].[AttritionStatus]" caption="AttritionStatus" attribute="1" defaultMemberUniqueName="[Range 3].[AttritionStatus].[All]" allUniqueName="[Range 3].[AttritionStatu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mployeeID]" caption="Count of Employee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Sum of Average Salary]" caption="Sum of Average Salary" measure="1" displayFolder="" measureGroup="Range 2" count="0" hidden="1">
      <extLst>
        <ext xmlns:x15="http://schemas.microsoft.com/office/spreadsheetml/2010/11/main" uri="{B97F6D7D-B522-45F9-BDA1-12C45D357490}">
          <x15:cacheHierarchy aggregatedColumn="21"/>
        </ext>
      </extLst>
    </cacheHierarchy>
    <cacheHierarchy uniqueName="[Measures].[Sum of Max Salary]" caption="Sum of Max Salary" measure="1" displayFolder="" measureGroup="Range 2" count="0" hidden="1">
      <extLst>
        <ext xmlns:x15="http://schemas.microsoft.com/office/spreadsheetml/2010/11/main" uri="{B97F6D7D-B522-45F9-BDA1-12C45D357490}">
          <x15:cacheHierarchy aggregatedColumn="22"/>
        </ext>
      </extLst>
    </cacheHierarchy>
    <cacheHierarchy uniqueName="[Measures].[Sum of Min Salary]" caption="Sum of Min Salary" measure="1" displayFolder="" measureGroup="Range 2" count="0" hidden="1">
      <extLst>
        <ext xmlns:x15="http://schemas.microsoft.com/office/spreadsheetml/2010/11/main" uri="{B97F6D7D-B522-45F9-BDA1-12C45D357490}">
          <x15:cacheHierarchy aggregatedColumn="23"/>
        </ext>
      </extLst>
    </cacheHierarchy>
    <cacheHierarchy uniqueName="[Measures].[Count of AttritionStatus]" caption="Count of AttritionStatus" measure="1" displayFolder="" measureGroup="Range 3" count="0" hidden="1">
      <extLst>
        <ext xmlns:x15="http://schemas.microsoft.com/office/spreadsheetml/2010/11/main" uri="{B97F6D7D-B522-45F9-BDA1-12C45D357490}">
          <x15:cacheHierarchy aggregatedColumn="24"/>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6.474759606484" backgroundQuery="1" createdVersion="3" refreshedVersion="8" minRefreshableVersion="3" recordCount="0" supportSubquery="1" supportAdvancedDrill="1" xr:uid="{83875B68-78DA-4B72-92CB-53D2317FD98E}">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Range].[EmployeeID]" caption="EmployeeID" attribute="1" defaultMemberUniqueName="[Range].[EmployeeID].[All]" allUniqueName="[Range].[Employee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Salary]" caption="Salary" attribute="1" defaultMemberUniqueName="[Range].[Salary].[All]" allUniqueName="[Range].[Salary].[All]" dimensionUniqueName="[Range]" displayFolder="" count="0" memberValueDatatype="20" unbalanced="0"/>
    <cacheHierarchy uniqueName="[Range].[AttritionStatus]" caption="AttritionStatus" attribute="1" defaultMemberUniqueName="[Range].[AttritionStatus].[All]" allUniqueName="[Range].[AttritionStatus].[All]" dimensionUniqueName="[Range]" displayFolder="" count="0" memberValueDatatype="130" unbalanced="0"/>
    <cacheHierarchy uniqueName="[Range].[Age Group]" caption="Age Group" attribute="1" defaultMemberUniqueName="[Range].[Age Group].[All]" allUniqueName="[Range].[Age Group].[All]" dimensionUniqueName="[Range]" displayFolder="" count="0" memberValueDatatype="130" unbalanced="0"/>
    <cacheHierarchy uniqueName="[Range 1].[EmployeeID]" caption="EmployeeID" attribute="1" defaultMemberUniqueName="[Range 1].[EmployeeID].[All]" allUniqueName="[Range 1].[EmployeeID].[All]" dimensionUniqueName="[Range 1]" displayFolder="" count="0" memberValueDatatype="130" unbalanced="0"/>
    <cacheHierarchy uniqueName="[Range 1].[Age]" caption="Age" attribute="1" defaultMemberUniqueName="[Range 1].[Age].[All]" allUniqueName="[Range 1].[Age].[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130" unbalanced="0"/>
    <cacheHierarchy uniqueName="[Range 1].[AttritionStatus]" caption="AttritionStatus" attribute="1" defaultMemberUniqueName="[Range 1].[AttritionStatus].[All]" allUniqueName="[Range 1].[AttritionStatus].[All]" dimensionUniqueName="[Range 1]" displayFolder="" count="0" memberValueDatatype="130" unbalanced="0"/>
    <cacheHierarchy uniqueName="[Range 1].[Age Group]" caption="Age Group" attribute="1" defaultMemberUniqueName="[Range 1].[Age Group].[All]" allUniqueName="[Range 1].[Age Group].[All]" dimensionUniqueName="[Range 1]" displayFolder="" count="0" memberValueDatatype="130" unbalanced="0"/>
    <cacheHierarchy uniqueName="[Range 2].[EmployeeID]" caption="EmployeeID" attribute="1" defaultMemberUniqueName="[Range 2].[EmployeeID].[All]" allUniqueName="[Range 2].[EmployeeID].[All]" dimensionUniqueName="[Range 2]" displayFolder="" count="0" memberValueDatatype="130" unbalanced="0"/>
    <cacheHierarchy uniqueName="[Range 2].[Age]" caption="Age" attribute="1" defaultMemberUniqueName="[Range 2].[Age].[All]" allUniqueName="[Range 2].[Age].[All]" dimensionUniqueName="[Range 2]" displayFolder="" count="0" memberValueDatatype="20" unbalanced="0"/>
    <cacheHierarchy uniqueName="[Range 2].[Gender]" caption="Gender" attribute="1" defaultMemberUniqueName="[Range 2].[Gender].[All]" allUniqueName="[Range 2].[Gender].[All]" dimensionUniqueName="[Range 2]" displayFolder="" count="0"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130" unbalanced="0"/>
    <cacheHierarchy uniqueName="[Range 2].[AttritionStatus]" caption="AttritionStatus" attribute="1" defaultMemberUniqueName="[Range 2].[AttritionStatus].[All]" allUniqueName="[Range 2].[AttritionStatus].[All]" dimensionUniqueName="[Range 2]" displayFolder="" count="0" memberValueDatatype="130" unbalanced="0"/>
    <cacheHierarchy uniqueName="[Range 2].[Age Group]" caption="Age Group" attribute="1" defaultMemberUniqueName="[Range 2].[Age Group].[All]" allUniqueName="[Range 2].[Age Group].[All]" dimensionUniqueName="[Range 2]" displayFolder="" count="0" memberValueDatatype="130" unbalanced="0"/>
    <cacheHierarchy uniqueName="[Range 2].[Average Salary]" caption="Average Salary" attribute="1" defaultMemberUniqueName="[Range 2].[Average Salary].[All]" allUniqueName="[Range 2].[Average Salary].[All]" dimensionUniqueName="[Range 2]" displayFolder="" count="0" memberValueDatatype="5" unbalanced="0"/>
    <cacheHierarchy uniqueName="[Range 2].[Max Salary]" caption="Max Salary" attribute="1" defaultMemberUniqueName="[Range 2].[Max Salary].[All]" allUniqueName="[Range 2].[Max Salary].[All]" dimensionUniqueName="[Range 2]" displayFolder="" count="0" memberValueDatatype="20" unbalanced="0"/>
    <cacheHierarchy uniqueName="[Range 2].[Min Salary]" caption="Min Salary" attribute="1" defaultMemberUniqueName="[Range 2].[Min Salary].[All]" allUniqueName="[Range 2].[Min Salary].[All]" dimensionUniqueName="[Range 2]" displayFolder="" count="0" memberValueDatatype="20" unbalanced="0"/>
    <cacheHierarchy uniqueName="[Range 3].[AttritionStatus]" caption="AttritionStatus" attribute="1" defaultMemberUniqueName="[Range 3].[AttritionStatus].[All]" allUniqueName="[Range 3].[AttritionStatus].[All]" dimensionUniqueName="[Range 3]"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Count of EmployeeID]" caption="Count of EmployeeID" measure="1" displayFolder="" measureGroup="Range"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Sum of Average Salary]" caption="Sum of Average Salary" measure="1" displayFolder="" measureGroup="Range 2" count="0" hidden="1">
      <extLst>
        <ext xmlns:x15="http://schemas.microsoft.com/office/spreadsheetml/2010/11/main" uri="{B97F6D7D-B522-45F9-BDA1-12C45D357490}">
          <x15:cacheHierarchy aggregatedColumn="21"/>
        </ext>
      </extLst>
    </cacheHierarchy>
    <cacheHierarchy uniqueName="[Measures].[Sum of Max Salary]" caption="Sum of Max Salary" measure="1" displayFolder="" measureGroup="Range 2" count="0" hidden="1">
      <extLst>
        <ext xmlns:x15="http://schemas.microsoft.com/office/spreadsheetml/2010/11/main" uri="{B97F6D7D-B522-45F9-BDA1-12C45D357490}">
          <x15:cacheHierarchy aggregatedColumn="22"/>
        </ext>
      </extLst>
    </cacheHierarchy>
    <cacheHierarchy uniqueName="[Measures].[Sum of Min Salary]" caption="Sum of Min Salary" measure="1" displayFolder="" measureGroup="Range 2" count="0" hidden="1">
      <extLst>
        <ext xmlns:x15="http://schemas.microsoft.com/office/spreadsheetml/2010/11/main" uri="{B97F6D7D-B522-45F9-BDA1-12C45D357490}">
          <x15:cacheHierarchy aggregatedColumn="23"/>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licerData="1" pivotCacheId="1473089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E226B3-B0E7-469D-B07B-8A616AFE4BD8}" name="PivotTable9" cacheId="2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8:D31" firstHeaderRow="1" firstDataRow="1" firstDataCol="1"/>
  <pivotFields count="2">
    <pivotField axis="axisRow" allDrilled="1" subtotalTop="0" showAll="0"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ttritionStatus" fld="1" subtotal="count"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1"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Records!$F$1:$F$10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FE5537-0F55-4977-9EF1-323E065BCDDF}" name="PivotTable8"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7">
  <location ref="H17:K21"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EmployeeID" fld="2" subtotal="count" baseField="0" baseItem="0"/>
  </dataFields>
  <chartFormats count="6">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 chart="11" format="6">
      <pivotArea type="data" outline="0" fieldPosition="0">
        <references count="3">
          <reference field="4294967294" count="1" selected="0">
            <x v="0"/>
          </reference>
          <reference field="0" count="1" selected="0">
            <x v="0"/>
          </reference>
          <reference field="1" count="1" selected="0">
            <x v="1"/>
          </reference>
        </references>
      </pivotArea>
    </chartFormat>
    <chartFormat chart="11" format="7">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2].[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1" showRowHeaders="1" showColHeaders="1" showRowStripes="0" showColStripes="0" showLastColumn="1"/>
  <rowHierarchiesUsage count="1">
    <rowHierarchyUsage hierarchyUsage="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Records!$A$1:$G$1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D87340-8F2B-4396-8204-ED59CEEF8A7D}" name="PivotTable7" cacheId="29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C17:D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loyeeID" fld="1" subtotal="count"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2].[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1"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Records!$A$1:$G$101">
        <x15:activeTabTopLevelEntity name="[Range]"/>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FB35AC-2257-4CCC-8D7E-46A4FF721DE5}" name="PivotTable6" cacheId="2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1">
  <location ref="H4:K11" firstHeaderRow="0" firstDataRow="1" firstDataCol="1"/>
  <pivotFields count="5">
    <pivotField axis="axisRow" allDrilled="1" subtotalTop="0" showAll="0"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2"/>
    </i>
    <i>
      <x v="4"/>
    </i>
    <i>
      <x v="1"/>
    </i>
    <i>
      <x v="5"/>
    </i>
    <i>
      <x v="3"/>
    </i>
    <i t="grand">
      <x/>
    </i>
  </rowItems>
  <colFields count="1">
    <field x="-2"/>
  </colFields>
  <colItems count="3">
    <i>
      <x/>
    </i>
    <i i="1">
      <x v="1"/>
    </i>
    <i i="2">
      <x v="2"/>
    </i>
  </colItems>
  <dataFields count="3">
    <dataField name="Sum of Average Salary" fld="1" baseField="0" baseItem="0" numFmtId="1"/>
    <dataField name="Sum of Max Salary" fld="2" baseField="0" baseItem="0"/>
    <dataField name="Sum of Min Salary" fld="3" baseField="0" baseItem="0"/>
  </dataFields>
  <formats count="2">
    <format dxfId="1">
      <pivotArea collapsedLevelsAreSubtotals="1" fieldPosition="0">
        <references count="2">
          <reference field="4294967294" count="1" selected="0">
            <x v="0"/>
          </reference>
          <reference field="0" count="1">
            <x v="1"/>
          </reference>
        </references>
      </pivotArea>
    </format>
    <format dxfId="2">
      <pivotArea outline="0" fieldPosition="0">
        <references count="1">
          <reference field="4294967294" count="1">
            <x v="0"/>
          </reference>
        </references>
      </pivotArea>
    </format>
  </formats>
  <chartFormats count="42">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5" format="24" series="1">
      <pivotArea type="data" outline="0" fieldPosition="0">
        <references count="1">
          <reference field="4294967294" count="1" selected="0">
            <x v="0"/>
          </reference>
        </references>
      </pivotArea>
    </chartFormat>
    <chartFormat chart="25" format="25">
      <pivotArea type="data" outline="0" fieldPosition="0">
        <references count="2">
          <reference field="4294967294" count="1" selected="0">
            <x v="0"/>
          </reference>
          <reference field="0" count="1" selected="0">
            <x v="2"/>
          </reference>
        </references>
      </pivotArea>
    </chartFormat>
    <chartFormat chart="25" format="26">
      <pivotArea type="data" outline="0" fieldPosition="0">
        <references count="2">
          <reference field="4294967294" count="1" selected="0">
            <x v="0"/>
          </reference>
          <reference field="0" count="1" selected="0">
            <x v="0"/>
          </reference>
        </references>
      </pivotArea>
    </chartFormat>
    <chartFormat chart="25" format="27">
      <pivotArea type="data" outline="0" fieldPosition="0">
        <references count="2">
          <reference field="4294967294" count="1" selected="0">
            <x v="0"/>
          </reference>
          <reference field="0" count="1" selected="0">
            <x v="4"/>
          </reference>
        </references>
      </pivotArea>
    </chartFormat>
    <chartFormat chart="25" format="28">
      <pivotArea type="data" outline="0" fieldPosition="0">
        <references count="2">
          <reference field="4294967294" count="1" selected="0">
            <x v="0"/>
          </reference>
          <reference field="0" count="1" selected="0">
            <x v="3"/>
          </reference>
        </references>
      </pivotArea>
    </chartFormat>
    <chartFormat chart="25" format="29">
      <pivotArea type="data" outline="0" fieldPosition="0">
        <references count="2">
          <reference field="4294967294" count="1" selected="0">
            <x v="0"/>
          </reference>
          <reference field="0" count="1" selected="0">
            <x v="1"/>
          </reference>
        </references>
      </pivotArea>
    </chartFormat>
    <chartFormat chart="25" format="30">
      <pivotArea type="data" outline="0" fieldPosition="0">
        <references count="2">
          <reference field="4294967294" count="1" selected="0">
            <x v="0"/>
          </reference>
          <reference field="0" count="1" selected="0">
            <x v="5"/>
          </reference>
        </references>
      </pivotArea>
    </chartFormat>
    <chartFormat chart="25" format="31" series="1">
      <pivotArea type="data" outline="0" fieldPosition="0">
        <references count="1">
          <reference field="4294967294" count="1" selected="0">
            <x v="1"/>
          </reference>
        </references>
      </pivotArea>
    </chartFormat>
    <chartFormat chart="25" format="32">
      <pivotArea type="data" outline="0" fieldPosition="0">
        <references count="2">
          <reference field="4294967294" count="1" selected="0">
            <x v="1"/>
          </reference>
          <reference field="0" count="1" selected="0">
            <x v="2"/>
          </reference>
        </references>
      </pivotArea>
    </chartFormat>
    <chartFormat chart="25" format="33">
      <pivotArea type="data" outline="0" fieldPosition="0">
        <references count="2">
          <reference field="4294967294" count="1" selected="0">
            <x v="1"/>
          </reference>
          <reference field="0" count="1" selected="0">
            <x v="0"/>
          </reference>
        </references>
      </pivotArea>
    </chartFormat>
    <chartFormat chart="25" format="34">
      <pivotArea type="data" outline="0" fieldPosition="0">
        <references count="2">
          <reference field="4294967294" count="1" selected="0">
            <x v="1"/>
          </reference>
          <reference field="0" count="1" selected="0">
            <x v="4"/>
          </reference>
        </references>
      </pivotArea>
    </chartFormat>
    <chartFormat chart="25" format="35">
      <pivotArea type="data" outline="0" fieldPosition="0">
        <references count="2">
          <reference field="4294967294" count="1" selected="0">
            <x v="1"/>
          </reference>
          <reference field="0" count="1" selected="0">
            <x v="3"/>
          </reference>
        </references>
      </pivotArea>
    </chartFormat>
    <chartFormat chart="25" format="36">
      <pivotArea type="data" outline="0" fieldPosition="0">
        <references count="2">
          <reference field="4294967294" count="1" selected="0">
            <x v="1"/>
          </reference>
          <reference field="0" count="1" selected="0">
            <x v="1"/>
          </reference>
        </references>
      </pivotArea>
    </chartFormat>
    <chartFormat chart="25" format="37">
      <pivotArea type="data" outline="0" fieldPosition="0">
        <references count="2">
          <reference field="4294967294" count="1" selected="0">
            <x v="1"/>
          </reference>
          <reference field="0" count="1" selected="0">
            <x v="5"/>
          </reference>
        </references>
      </pivotArea>
    </chartFormat>
    <chartFormat chart="25" format="38" series="1">
      <pivotArea type="data" outline="0" fieldPosition="0">
        <references count="1">
          <reference field="4294967294" count="1" selected="0">
            <x v="2"/>
          </reference>
        </references>
      </pivotArea>
    </chartFormat>
    <chartFormat chart="25" format="39">
      <pivotArea type="data" outline="0" fieldPosition="0">
        <references count="2">
          <reference field="4294967294" count="1" selected="0">
            <x v="2"/>
          </reference>
          <reference field="0" count="1" selected="0">
            <x v="2"/>
          </reference>
        </references>
      </pivotArea>
    </chartFormat>
    <chartFormat chart="25" format="40">
      <pivotArea type="data" outline="0" fieldPosition="0">
        <references count="2">
          <reference field="4294967294" count="1" selected="0">
            <x v="2"/>
          </reference>
          <reference field="0" count="1" selected="0">
            <x v="0"/>
          </reference>
        </references>
      </pivotArea>
    </chartFormat>
    <chartFormat chart="25" format="41">
      <pivotArea type="data" outline="0" fieldPosition="0">
        <references count="2">
          <reference field="4294967294" count="1" selected="0">
            <x v="2"/>
          </reference>
          <reference field="0" count="1" selected="0">
            <x v="4"/>
          </reference>
        </references>
      </pivotArea>
    </chartFormat>
    <chartFormat chart="25" format="42">
      <pivotArea type="data" outline="0" fieldPosition="0">
        <references count="2">
          <reference field="4294967294" count="1" selected="0">
            <x v="2"/>
          </reference>
          <reference field="0" count="1" selected="0">
            <x v="3"/>
          </reference>
        </references>
      </pivotArea>
    </chartFormat>
    <chartFormat chart="25" format="43">
      <pivotArea type="data" outline="0" fieldPosition="0">
        <references count="2">
          <reference field="4294967294" count="1" selected="0">
            <x v="2"/>
          </reference>
          <reference field="0" count="1" selected="0">
            <x v="1"/>
          </reference>
        </references>
      </pivotArea>
    </chartFormat>
    <chartFormat chart="25" format="44">
      <pivotArea type="data" outline="0" fieldPosition="0">
        <references count="2">
          <reference field="4294967294" count="1" selected="0">
            <x v="2"/>
          </reference>
          <reference field="0" count="1" selected="0">
            <x v="5"/>
          </reference>
        </references>
      </pivotArea>
    </chartFormat>
    <chartFormat chart="18" format="3">
      <pivotArea type="data" outline="0" fieldPosition="0">
        <references count="2">
          <reference field="4294967294" count="1" selected="0">
            <x v="0"/>
          </reference>
          <reference field="0" count="1" selected="0">
            <x v="2"/>
          </reference>
        </references>
      </pivotArea>
    </chartFormat>
    <chartFormat chart="18" format="4">
      <pivotArea type="data" outline="0" fieldPosition="0">
        <references count="2">
          <reference field="4294967294" count="1" selected="0">
            <x v="0"/>
          </reference>
          <reference field="0" count="1" selected="0">
            <x v="0"/>
          </reference>
        </references>
      </pivotArea>
    </chartFormat>
    <chartFormat chart="18" format="5">
      <pivotArea type="data" outline="0" fieldPosition="0">
        <references count="2">
          <reference field="4294967294" count="1" selected="0">
            <x v="0"/>
          </reference>
          <reference field="0" count="1" selected="0">
            <x v="4"/>
          </reference>
        </references>
      </pivotArea>
    </chartFormat>
    <chartFormat chart="18" format="6">
      <pivotArea type="data" outline="0" fieldPosition="0">
        <references count="2">
          <reference field="4294967294" count="1" selected="0">
            <x v="0"/>
          </reference>
          <reference field="0" count="1" selected="0">
            <x v="3"/>
          </reference>
        </references>
      </pivotArea>
    </chartFormat>
    <chartFormat chart="18" format="7">
      <pivotArea type="data" outline="0" fieldPosition="0">
        <references count="2">
          <reference field="4294967294" count="1" selected="0">
            <x v="0"/>
          </reference>
          <reference field="0" count="1" selected="0">
            <x v="1"/>
          </reference>
        </references>
      </pivotArea>
    </chartFormat>
    <chartFormat chart="18" format="8">
      <pivotArea type="data" outline="0" fieldPosition="0">
        <references count="2">
          <reference field="4294967294" count="1" selected="0">
            <x v="0"/>
          </reference>
          <reference field="0" count="1" selected="0">
            <x v="5"/>
          </reference>
        </references>
      </pivotArea>
    </chartFormat>
    <chartFormat chart="18" format="9">
      <pivotArea type="data" outline="0" fieldPosition="0">
        <references count="2">
          <reference field="4294967294" count="1" selected="0">
            <x v="1"/>
          </reference>
          <reference field="0" count="1" selected="0">
            <x v="2"/>
          </reference>
        </references>
      </pivotArea>
    </chartFormat>
    <chartFormat chart="18" format="10">
      <pivotArea type="data" outline="0" fieldPosition="0">
        <references count="2">
          <reference field="4294967294" count="1" selected="0">
            <x v="1"/>
          </reference>
          <reference field="0" count="1" selected="0">
            <x v="0"/>
          </reference>
        </references>
      </pivotArea>
    </chartFormat>
    <chartFormat chart="18" format="11">
      <pivotArea type="data" outline="0" fieldPosition="0">
        <references count="2">
          <reference field="4294967294" count="1" selected="0">
            <x v="1"/>
          </reference>
          <reference field="0" count="1" selected="0">
            <x v="4"/>
          </reference>
        </references>
      </pivotArea>
    </chartFormat>
    <chartFormat chart="18" format="12">
      <pivotArea type="data" outline="0" fieldPosition="0">
        <references count="2">
          <reference field="4294967294" count="1" selected="0">
            <x v="1"/>
          </reference>
          <reference field="0" count="1" selected="0">
            <x v="3"/>
          </reference>
        </references>
      </pivotArea>
    </chartFormat>
    <chartFormat chart="18" format="13">
      <pivotArea type="data" outline="0" fieldPosition="0">
        <references count="2">
          <reference field="4294967294" count="1" selected="0">
            <x v="1"/>
          </reference>
          <reference field="0" count="1" selected="0">
            <x v="1"/>
          </reference>
        </references>
      </pivotArea>
    </chartFormat>
    <chartFormat chart="18" format="14">
      <pivotArea type="data" outline="0" fieldPosition="0">
        <references count="2">
          <reference field="4294967294" count="1" selected="0">
            <x v="1"/>
          </reference>
          <reference field="0" count="1" selected="0">
            <x v="5"/>
          </reference>
        </references>
      </pivotArea>
    </chartFormat>
    <chartFormat chart="18" format="15">
      <pivotArea type="data" outline="0" fieldPosition="0">
        <references count="2">
          <reference field="4294967294" count="1" selected="0">
            <x v="2"/>
          </reference>
          <reference field="0" count="1" selected="0">
            <x v="2"/>
          </reference>
        </references>
      </pivotArea>
    </chartFormat>
    <chartFormat chart="18" format="16">
      <pivotArea type="data" outline="0" fieldPosition="0">
        <references count="2">
          <reference field="4294967294" count="1" selected="0">
            <x v="2"/>
          </reference>
          <reference field="0" count="1" selected="0">
            <x v="0"/>
          </reference>
        </references>
      </pivotArea>
    </chartFormat>
    <chartFormat chart="18" format="17">
      <pivotArea type="data" outline="0" fieldPosition="0">
        <references count="2">
          <reference field="4294967294" count="1" selected="0">
            <x v="2"/>
          </reference>
          <reference field="0" count="1" selected="0">
            <x v="4"/>
          </reference>
        </references>
      </pivotArea>
    </chartFormat>
    <chartFormat chart="18" format="18">
      <pivotArea type="data" outline="0" fieldPosition="0">
        <references count="2">
          <reference field="4294967294" count="1" selected="0">
            <x v="2"/>
          </reference>
          <reference field="0" count="1" selected="0">
            <x v="3"/>
          </reference>
        </references>
      </pivotArea>
    </chartFormat>
    <chartFormat chart="18" format="19">
      <pivotArea type="data" outline="0" fieldPosition="0">
        <references count="2">
          <reference field="4294967294" count="1" selected="0">
            <x v="2"/>
          </reference>
          <reference field="0" count="1" selected="0">
            <x v="1"/>
          </reference>
        </references>
      </pivotArea>
    </chartFormat>
    <chartFormat chart="18" format="20">
      <pivotArea type="data" outline="0" fieldPosition="0">
        <references count="2">
          <reference field="4294967294" count="1" selected="0">
            <x v="2"/>
          </reference>
          <reference field="0" count="1" selected="0">
            <x v="5"/>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2].[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1"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Records!$A$1:$J$10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DDC388-9242-42C1-B543-19F4FAEBE078}" name="PivotTable5" cacheId="2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C4:E12" firstHeaderRow="1" firstDataRow="2" firstDataCol="1"/>
  <pivotFields count="4">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2">
        <item s="1" x="0"/>
        <item x="1"/>
      </items>
    </pivotField>
    <pivotField allDrilled="1" subtotalTop="0" showAll="0" dataSourceSort="1" defaultSubtotal="0" defaultAttributeDrillState="1"/>
  </pivotFields>
  <rowFields count="1">
    <field x="1"/>
  </rowFields>
  <rowItems count="7">
    <i>
      <x v="3"/>
    </i>
    <i>
      <x v="4"/>
    </i>
    <i>
      <x/>
    </i>
    <i>
      <x v="1"/>
    </i>
    <i>
      <x v="5"/>
    </i>
    <i>
      <x v="2"/>
    </i>
    <i t="grand">
      <x/>
    </i>
  </rowItems>
  <colFields count="1">
    <field x="2"/>
  </colFields>
  <colItems count="2">
    <i>
      <x/>
    </i>
    <i t="grand">
      <x/>
    </i>
  </colItems>
  <dataFields count="1">
    <dataField name="Count of EmployeeID" fld="0" subtotal="count" baseField="0" baseItem="0"/>
  </dataFields>
  <chartFormats count="6">
    <chartFormat chart="3" format="0" series="1">
      <pivotArea type="data" outline="0" fieldPosition="0">
        <references count="2">
          <reference field="4294967294" count="1" selected="0">
            <x v="0"/>
          </reference>
          <reference field="2" count="1" selected="0">
            <x v="1"/>
          </reference>
        </references>
      </pivotArea>
    </chartFormat>
    <chartFormat chart="3" format="1" series="1">
      <pivotArea type="data" outline="0" fieldPosition="0">
        <references count="2">
          <reference field="4294967294" count="1" selected="0">
            <x v="0"/>
          </reference>
          <reference field="2" count="1" selected="0">
            <x v="0"/>
          </reference>
        </references>
      </pivotArea>
    </chartFormat>
    <chartFormat chart="5" format="4" series="1">
      <pivotArea type="data" outline="0" fieldPosition="0">
        <references count="2">
          <reference field="4294967294" count="1" selected="0">
            <x v="0"/>
          </reference>
          <reference field="2" count="1" selected="0">
            <x v="1"/>
          </reference>
        </references>
      </pivotArea>
    </chartFormat>
    <chartFormat chart="5" format="5" series="1">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3">
          <reference field="4294967294" count="1" selected="0">
            <x v="0"/>
          </reference>
          <reference field="1" count="1" selected="0">
            <x v="2"/>
          </reference>
          <reference field="2" count="1" selected="0">
            <x v="1"/>
          </reference>
        </references>
      </pivotArea>
    </chartFormat>
    <chartFormat chart="5" format="7">
      <pivotArea type="data" outline="0" fieldPosition="0">
        <references count="3">
          <reference field="4294967294" count="1" selected="0">
            <x v="0"/>
          </reference>
          <reference field="1" count="1" selected="0">
            <x v="2"/>
          </reference>
          <reference field="2" count="1" selected="0">
            <x v="0"/>
          </reference>
        </references>
      </pivotArea>
    </chartFormat>
  </chartFormats>
  <pivotHierarchies count="3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2].[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1"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Records!$A$1:$G$101">
        <x15:activeTabTopLevelEntity name="[Range]"/>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E1B7C36-23AB-4DB7-AAD6-F0269270581E}" sourceName="[Range 2].[Department]">
  <pivotTables>
    <pivotTable tabId="5" name="PivotTable5"/>
    <pivotTable tabId="5" name="PivotTable6"/>
    <pivotTable tabId="5" name="PivotTable7"/>
    <pivotTable tabId="5" name="PivotTable8"/>
  </pivotTables>
  <data>
    <olap pivotCacheId="147308995">
      <levels count="2">
        <level uniqueName="[Range 2].[Department].[(All)]" sourceCaption="(All)" count="0"/>
        <level uniqueName="[Range 2].[Department].[Department]" sourceCaption="Department" count="6">
          <ranges>
            <range startItem="0">
              <i n="[Range 2].[Department].&amp;[Finance]" c="Finance"/>
              <i n="[Range 2].[Department].&amp;[HR]" c="HR"/>
              <i n="[Range 2].[Department].&amp;[IT]" c="IT"/>
              <i n="[Range 2].[Department].&amp;[Marketing]" c="Marketing"/>
              <i n="[Range 2].[Department].&amp;[Operations]" c="Operations"/>
              <i n="[Range 2].[Department].&amp;[Sales]" c="Sales"/>
            </range>
          </ranges>
        </level>
      </levels>
      <selections count="1">
        <selection n="[Range 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83940D5-8013-45A2-8521-68F02A5218EF}" sourceName="[Range 2].[Gender]">
  <pivotTables>
    <pivotTable tabId="5" name="PivotTable5"/>
    <pivotTable tabId="5" name="PivotTable6"/>
    <pivotTable tabId="5" name="PivotTable7"/>
    <pivotTable tabId="5" name="PivotTable8"/>
  </pivotTables>
  <data>
    <olap pivotCacheId="147308995">
      <levels count="2">
        <level uniqueName="[Range 2].[Gender].[(All)]" sourceCaption="(All)" count="0"/>
        <level uniqueName="[Range 2].[Gender].[Gender]" sourceCaption="Gender" count="2">
          <ranges>
            <range startItem="0">
              <i n="[Range 2].[Gender].&amp;[Female]" c="Female"/>
              <i n="[Range 2].[Gender].&amp;[Male]" c="Male"/>
            </range>
          </ranges>
        </level>
      </levels>
      <selections count="1">
        <selection n="[Range 2].[Gender].&amp;[Fe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Status" xr10:uid="{F2C760B7-757B-494D-9D2D-51F6DD430973}" sourceName="[Range].[AttritionStatus]">
  <pivotTables>
    <pivotTable tabId="5" name="PivotTable5"/>
  </pivotTables>
  <data>
    <olap pivotCacheId="147308995">
      <levels count="2">
        <level uniqueName="[Range].[AttritionStatus].[(All)]" sourceCaption="(All)" count="0"/>
        <level uniqueName="[Range].[AttritionStatus].[AttritionStatus]" sourceCaption="AttritionStatus" count="2">
          <ranges>
            <range startItem="0">
              <i n="[Range].[AttritionStatus].&amp;[No]" c="No"/>
              <i n="[Range].[AttritionStatus].&amp;[Yes]" c="Yes"/>
            </range>
          </ranges>
        </level>
      </levels>
      <selections count="1">
        <selection n="[Range].[AttritionStatus].&amp;[Y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FF7CC7B-3077-462F-BB4E-661427918926}" cache="Slicer_Department" caption="Department" level="1" style="SlicerStyleDark3" rowHeight="234950"/>
  <slicer name="Gender 1" xr10:uid="{CDAFF425-2C25-4306-8DD5-4AC889FD8A41}" cache="Slicer_Gender" caption="Gender" level="1" style="SlicerStyleDark3" rowHeight="234950"/>
  <slicer name="AttritionStatus 1" xr10:uid="{BBE7ACDC-87C3-4FBB-87EE-924775D69CCD}" cache="Slicer_AttritionStatus" caption="AttritionStatus" level="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202785-6CCB-4260-99B2-4FEA846851BD}" name="Table2" displayName="Table2" ref="A1:J102" totalsRowShown="0" headerRowDxfId="0">
  <autoFilter ref="A1:J102" xr:uid="{D6202785-6CCB-4260-99B2-4FEA846851BD}"/>
  <tableColumns count="10">
    <tableColumn id="1" xr3:uid="{C62E319E-99B5-4E97-854F-53DD7B90113A}" name="EmployeeID"/>
    <tableColumn id="2" xr3:uid="{382EC404-477B-4331-A7F8-4C275E735841}" name="Age"/>
    <tableColumn id="3" xr3:uid="{43B446D9-EF89-45A0-BDAC-DD543661040E}" name="Gender"/>
    <tableColumn id="4" xr3:uid="{17A51EF0-05AC-4559-B119-9E0A0A5D03F2}" name="Department"/>
    <tableColumn id="5" xr3:uid="{84EBE399-D768-4402-9CA8-43F19D6EEA1D}" name="Salary"/>
    <tableColumn id="6" xr3:uid="{EC46D8C5-3E0F-4290-BF9F-275FBB1C10A8}" name="AttritionStatus"/>
    <tableColumn id="7" xr3:uid="{6BE660CD-C526-4E0E-8355-189273D173A0}" name="Column1"/>
    <tableColumn id="8" xr3:uid="{36F27F31-47BA-4CD8-8856-CD5B64BFDCAE}" name="Average Salary"/>
    <tableColumn id="9" xr3:uid="{635F59AF-5F5C-4876-B8B5-5B7303932F92}" name="Max Salary"/>
    <tableColumn id="10" xr3:uid="{8F6A3948-B240-4C94-8706-D71D43A21D21}" name="Min Salary"/>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6"/>
  <sheetViews>
    <sheetView tabSelected="1" topLeftCell="A42" zoomScale="82" zoomScaleNormal="82" workbookViewId="0">
      <selection activeCell="F116" sqref="F116"/>
    </sheetView>
  </sheetViews>
  <sheetFormatPr defaultRowHeight="14.4" x14ac:dyDescent="0.3"/>
  <cols>
    <col min="1" max="1" width="13.5546875" bestFit="1" customWidth="1"/>
    <col min="2" max="2" width="12.44140625" bestFit="1" customWidth="1"/>
    <col min="3" max="3" width="9.6640625" bestFit="1" customWidth="1"/>
    <col min="4" max="4" width="13.77734375" customWidth="1"/>
    <col min="5" max="5" width="14.109375" bestFit="1" customWidth="1"/>
    <col min="6" max="6" width="16.33203125" customWidth="1"/>
    <col min="7" max="7" width="10.6640625" customWidth="1"/>
    <col min="8" max="8" width="16.21875" customWidth="1"/>
    <col min="9" max="9" width="12.6640625" customWidth="1"/>
    <col min="10" max="12" width="20" bestFit="1" customWidth="1"/>
    <col min="13" max="13" width="16.44140625" bestFit="1" customWidth="1"/>
    <col min="14" max="14" width="3.77734375" bestFit="1" customWidth="1"/>
    <col min="15" max="15" width="11.44140625" bestFit="1" customWidth="1"/>
    <col min="16" max="16" width="13.44140625" bestFit="1" customWidth="1"/>
    <col min="17" max="17" width="21.33203125" bestFit="1" customWidth="1"/>
    <col min="18" max="18" width="17.6640625" bestFit="1" customWidth="1"/>
    <col min="19" max="19" width="17.33203125" bestFit="1" customWidth="1"/>
  </cols>
  <sheetData>
    <row r="1" spans="1:16" x14ac:dyDescent="0.3">
      <c r="A1" s="7" t="s">
        <v>0</v>
      </c>
      <c r="B1" s="7" t="s">
        <v>1</v>
      </c>
      <c r="C1" s="7" t="s">
        <v>2</v>
      </c>
      <c r="D1" s="7" t="s">
        <v>3</v>
      </c>
      <c r="E1" s="7" t="s">
        <v>4</v>
      </c>
      <c r="F1" s="7" t="s">
        <v>5</v>
      </c>
      <c r="G1" s="7" t="s">
        <v>139</v>
      </c>
      <c r="H1" s="7" t="s">
        <v>128</v>
      </c>
      <c r="I1" s="7" t="s">
        <v>129</v>
      </c>
      <c r="J1" s="7" t="s">
        <v>130</v>
      </c>
    </row>
    <row r="2" spans="1:16" x14ac:dyDescent="0.3">
      <c r="A2" t="s">
        <v>6</v>
      </c>
      <c r="B2">
        <v>28</v>
      </c>
      <c r="C2" t="s">
        <v>7</v>
      </c>
      <c r="D2" t="s">
        <v>8</v>
      </c>
      <c r="E2" t="s">
        <v>127</v>
      </c>
      <c r="F2" t="s">
        <v>9</v>
      </c>
      <c r="H2">
        <f>AVERAGE(E2:E101)</f>
        <v>55737.373737373739</v>
      </c>
      <c r="I2">
        <f>MAX(E2:E101)</f>
        <v>90000</v>
      </c>
      <c r="J2">
        <f>MIN(E2:E101)</f>
        <v>25000</v>
      </c>
    </row>
    <row r="3" spans="1:16" x14ac:dyDescent="0.3">
      <c r="A3" t="s">
        <v>10</v>
      </c>
      <c r="B3">
        <v>29</v>
      </c>
      <c r="C3" t="s">
        <v>11</v>
      </c>
      <c r="D3" t="s">
        <v>12</v>
      </c>
      <c r="E3">
        <v>48000</v>
      </c>
      <c r="F3" t="s">
        <v>9</v>
      </c>
      <c r="H3">
        <f t="shared" ref="H3:H66" si="0">AVERAGE(E3:E102)</f>
        <v>55737.373737373739</v>
      </c>
      <c r="I3">
        <f t="shared" ref="I3:I66" si="1">MAX(E3:E102)</f>
        <v>90000</v>
      </c>
      <c r="J3">
        <f t="shared" ref="J3:J66" si="2">MIN(E3:E102)</f>
        <v>25000</v>
      </c>
    </row>
    <row r="4" spans="1:16" x14ac:dyDescent="0.3">
      <c r="A4" t="s">
        <v>13</v>
      </c>
      <c r="B4">
        <v>56</v>
      </c>
      <c r="C4" t="s">
        <v>11</v>
      </c>
      <c r="D4" t="s">
        <v>14</v>
      </c>
      <c r="E4">
        <v>41000</v>
      </c>
      <c r="F4" t="s">
        <v>9</v>
      </c>
      <c r="H4">
        <f t="shared" si="0"/>
        <v>55816.326530612248</v>
      </c>
      <c r="I4">
        <f t="shared" si="1"/>
        <v>90000</v>
      </c>
      <c r="J4">
        <f t="shared" si="2"/>
        <v>25000</v>
      </c>
      <c r="L4" s="6"/>
    </row>
    <row r="5" spans="1:16" x14ac:dyDescent="0.3">
      <c r="A5" t="s">
        <v>15</v>
      </c>
      <c r="B5">
        <v>37</v>
      </c>
      <c r="C5" t="s">
        <v>7</v>
      </c>
      <c r="D5" t="s">
        <v>14</v>
      </c>
      <c r="E5">
        <v>78000</v>
      </c>
      <c r="F5" t="s">
        <v>9</v>
      </c>
      <c r="H5">
        <f t="shared" si="0"/>
        <v>55969.072164948455</v>
      </c>
      <c r="I5">
        <f t="shared" si="1"/>
        <v>90000</v>
      </c>
      <c r="J5">
        <f t="shared" si="2"/>
        <v>25000</v>
      </c>
    </row>
    <row r="6" spans="1:16" x14ac:dyDescent="0.3">
      <c r="A6" t="s">
        <v>16</v>
      </c>
      <c r="B6">
        <v>52</v>
      </c>
      <c r="C6" t="s">
        <v>11</v>
      </c>
      <c r="D6" t="s">
        <v>12</v>
      </c>
      <c r="E6">
        <v>32000</v>
      </c>
      <c r="F6" t="s">
        <v>9</v>
      </c>
      <c r="H6">
        <f t="shared" si="0"/>
        <v>55739.583333333336</v>
      </c>
      <c r="I6">
        <f t="shared" si="1"/>
        <v>90000</v>
      </c>
      <c r="J6">
        <f t="shared" si="2"/>
        <v>25000</v>
      </c>
    </row>
    <row r="7" spans="1:16" x14ac:dyDescent="0.3">
      <c r="A7" t="s">
        <v>17</v>
      </c>
      <c r="B7">
        <v>30</v>
      </c>
      <c r="C7" t="s">
        <v>7</v>
      </c>
      <c r="D7" t="s">
        <v>18</v>
      </c>
      <c r="E7">
        <v>29000</v>
      </c>
      <c r="F7" t="s">
        <v>9</v>
      </c>
      <c r="H7">
        <f t="shared" si="0"/>
        <v>55989.473684210527</v>
      </c>
      <c r="I7">
        <f t="shared" si="1"/>
        <v>90000</v>
      </c>
      <c r="J7">
        <f t="shared" si="2"/>
        <v>25000</v>
      </c>
    </row>
    <row r="8" spans="1:16" x14ac:dyDescent="0.3">
      <c r="A8" t="s">
        <v>19</v>
      </c>
      <c r="B8">
        <v>33</v>
      </c>
      <c r="C8" t="s">
        <v>7</v>
      </c>
      <c r="D8" t="s">
        <v>18</v>
      </c>
      <c r="E8">
        <v>47000</v>
      </c>
      <c r="F8" t="s">
        <v>9</v>
      </c>
      <c r="H8">
        <f t="shared" si="0"/>
        <v>56276.595744680853</v>
      </c>
      <c r="I8">
        <f t="shared" si="1"/>
        <v>90000</v>
      </c>
      <c r="J8">
        <f t="shared" si="2"/>
        <v>25000</v>
      </c>
    </row>
    <row r="9" spans="1:16" x14ac:dyDescent="0.3">
      <c r="A9" t="s">
        <v>20</v>
      </c>
      <c r="B9">
        <v>55</v>
      </c>
      <c r="C9" t="s">
        <v>11</v>
      </c>
      <c r="D9" t="s">
        <v>14</v>
      </c>
      <c r="E9">
        <v>50000</v>
      </c>
      <c r="F9" t="s">
        <v>9</v>
      </c>
      <c r="H9">
        <f t="shared" si="0"/>
        <v>56376.344086021505</v>
      </c>
      <c r="I9">
        <f t="shared" si="1"/>
        <v>90000</v>
      </c>
      <c r="J9">
        <f t="shared" si="2"/>
        <v>25000</v>
      </c>
    </row>
    <row r="10" spans="1:16" x14ac:dyDescent="0.3">
      <c r="A10" t="s">
        <v>21</v>
      </c>
      <c r="B10">
        <v>43</v>
      </c>
      <c r="C10" t="s">
        <v>11</v>
      </c>
      <c r="D10" t="s">
        <v>18</v>
      </c>
      <c r="E10">
        <v>25000</v>
      </c>
      <c r="F10" t="s">
        <v>22</v>
      </c>
      <c r="H10">
        <f t="shared" si="0"/>
        <v>56445.65217391304</v>
      </c>
      <c r="I10">
        <f t="shared" si="1"/>
        <v>90000</v>
      </c>
      <c r="J10">
        <f t="shared" si="2"/>
        <v>25000</v>
      </c>
    </row>
    <row r="11" spans="1:16" x14ac:dyDescent="0.3">
      <c r="A11" t="s">
        <v>23</v>
      </c>
      <c r="B11">
        <v>45</v>
      </c>
      <c r="C11" t="s">
        <v>11</v>
      </c>
      <c r="D11" t="s">
        <v>12</v>
      </c>
      <c r="E11">
        <v>80000</v>
      </c>
      <c r="F11" t="s">
        <v>9</v>
      </c>
      <c r="H11">
        <f t="shared" si="0"/>
        <v>56791.208791208788</v>
      </c>
      <c r="I11">
        <f t="shared" si="1"/>
        <v>90000</v>
      </c>
      <c r="J11">
        <f t="shared" si="2"/>
        <v>25000</v>
      </c>
    </row>
    <row r="12" spans="1:16" x14ac:dyDescent="0.3">
      <c r="A12" t="s">
        <v>24</v>
      </c>
      <c r="B12">
        <v>60</v>
      </c>
      <c r="C12" t="s">
        <v>11</v>
      </c>
      <c r="D12" t="s">
        <v>14</v>
      </c>
      <c r="E12">
        <v>26000</v>
      </c>
      <c r="F12" t="s">
        <v>9</v>
      </c>
      <c r="H12">
        <f t="shared" si="0"/>
        <v>56533.333333333336</v>
      </c>
      <c r="I12">
        <f t="shared" si="1"/>
        <v>90000</v>
      </c>
      <c r="J12">
        <f t="shared" si="2"/>
        <v>25000</v>
      </c>
      <c r="P12" s="6"/>
    </row>
    <row r="13" spans="1:16" x14ac:dyDescent="0.3">
      <c r="A13" t="s">
        <v>25</v>
      </c>
      <c r="B13">
        <v>57</v>
      </c>
      <c r="C13" t="s">
        <v>7</v>
      </c>
      <c r="D13" t="s">
        <v>18</v>
      </c>
      <c r="E13">
        <v>56000</v>
      </c>
      <c r="F13" t="s">
        <v>9</v>
      </c>
      <c r="H13">
        <f t="shared" si="0"/>
        <v>56876.404494382019</v>
      </c>
      <c r="I13">
        <f t="shared" si="1"/>
        <v>90000</v>
      </c>
      <c r="J13">
        <f t="shared" si="2"/>
        <v>25000</v>
      </c>
      <c r="K13" s="3"/>
      <c r="L13" s="6"/>
    </row>
    <row r="14" spans="1:16" x14ac:dyDescent="0.3">
      <c r="A14" t="s">
        <v>26</v>
      </c>
      <c r="B14">
        <v>25</v>
      </c>
      <c r="C14" t="s">
        <v>7</v>
      </c>
      <c r="D14" t="s">
        <v>27</v>
      </c>
      <c r="E14">
        <v>65000</v>
      </c>
      <c r="F14" t="s">
        <v>9</v>
      </c>
      <c r="H14">
        <f t="shared" si="0"/>
        <v>56886.36363636364</v>
      </c>
      <c r="I14">
        <f t="shared" si="1"/>
        <v>90000</v>
      </c>
      <c r="J14">
        <f t="shared" si="2"/>
        <v>25000</v>
      </c>
    </row>
    <row r="15" spans="1:16" x14ac:dyDescent="0.3">
      <c r="A15" t="s">
        <v>28</v>
      </c>
      <c r="B15">
        <v>37</v>
      </c>
      <c r="C15" t="s">
        <v>7</v>
      </c>
      <c r="D15" t="s">
        <v>12</v>
      </c>
      <c r="E15">
        <v>60000</v>
      </c>
      <c r="F15" t="s">
        <v>9</v>
      </c>
      <c r="H15">
        <f t="shared" si="0"/>
        <v>56793.103448275862</v>
      </c>
      <c r="I15">
        <f t="shared" si="1"/>
        <v>90000</v>
      </c>
      <c r="J15">
        <f t="shared" si="2"/>
        <v>25000</v>
      </c>
    </row>
    <row r="16" spans="1:16" x14ac:dyDescent="0.3">
      <c r="A16" t="s">
        <v>29</v>
      </c>
      <c r="B16">
        <v>29</v>
      </c>
      <c r="C16" t="s">
        <v>11</v>
      </c>
      <c r="D16" t="s">
        <v>30</v>
      </c>
      <c r="E16">
        <v>27000</v>
      </c>
      <c r="F16" t="s">
        <v>9</v>
      </c>
      <c r="H16">
        <f t="shared" si="0"/>
        <v>56755.813953488374</v>
      </c>
      <c r="I16">
        <f t="shared" si="1"/>
        <v>90000</v>
      </c>
      <c r="J16">
        <f t="shared" si="2"/>
        <v>25000</v>
      </c>
    </row>
    <row r="17" spans="1:12" x14ac:dyDescent="0.3">
      <c r="A17" t="s">
        <v>31</v>
      </c>
      <c r="B17">
        <v>42</v>
      </c>
      <c r="C17" t="s">
        <v>7</v>
      </c>
      <c r="D17" t="s">
        <v>12</v>
      </c>
      <c r="E17">
        <v>41000</v>
      </c>
      <c r="F17" t="s">
        <v>22</v>
      </c>
      <c r="H17">
        <f t="shared" si="0"/>
        <v>57105.882352941175</v>
      </c>
      <c r="I17">
        <f t="shared" si="1"/>
        <v>90000</v>
      </c>
      <c r="J17">
        <f t="shared" si="2"/>
        <v>25000</v>
      </c>
    </row>
    <row r="18" spans="1:12" x14ac:dyDescent="0.3">
      <c r="A18" t="s">
        <v>32</v>
      </c>
      <c r="B18">
        <v>54</v>
      </c>
      <c r="C18" t="s">
        <v>11</v>
      </c>
      <c r="D18" t="s">
        <v>8</v>
      </c>
      <c r="E18">
        <v>51000</v>
      </c>
      <c r="F18" t="s">
        <v>22</v>
      </c>
      <c r="H18">
        <f t="shared" si="0"/>
        <v>57297.619047619046</v>
      </c>
      <c r="I18">
        <f t="shared" si="1"/>
        <v>90000</v>
      </c>
      <c r="J18">
        <f t="shared" si="2"/>
        <v>25000</v>
      </c>
    </row>
    <row r="19" spans="1:12" x14ac:dyDescent="0.3">
      <c r="A19" t="s">
        <v>33</v>
      </c>
      <c r="B19">
        <v>28</v>
      </c>
      <c r="C19" t="s">
        <v>7</v>
      </c>
      <c r="D19" t="s">
        <v>27</v>
      </c>
      <c r="E19">
        <v>87000</v>
      </c>
      <c r="F19" t="s">
        <v>9</v>
      </c>
      <c r="H19">
        <f t="shared" si="0"/>
        <v>57373.493975903613</v>
      </c>
      <c r="I19">
        <f t="shared" si="1"/>
        <v>90000</v>
      </c>
      <c r="J19">
        <f t="shared" si="2"/>
        <v>25000</v>
      </c>
    </row>
    <row r="20" spans="1:12" x14ac:dyDescent="0.3">
      <c r="A20" t="s">
        <v>34</v>
      </c>
      <c r="B20">
        <v>23</v>
      </c>
      <c r="C20" t="s">
        <v>11</v>
      </c>
      <c r="D20" t="s">
        <v>14</v>
      </c>
      <c r="E20">
        <v>39000</v>
      </c>
      <c r="F20" t="s">
        <v>9</v>
      </c>
      <c r="H20">
        <f t="shared" si="0"/>
        <v>57012.195121951219</v>
      </c>
      <c r="I20">
        <f t="shared" si="1"/>
        <v>90000</v>
      </c>
      <c r="J20">
        <f t="shared" si="2"/>
        <v>25000</v>
      </c>
    </row>
    <row r="21" spans="1:12" x14ac:dyDescent="0.3">
      <c r="A21" t="s">
        <v>35</v>
      </c>
      <c r="B21">
        <v>26</v>
      </c>
      <c r="C21" t="s">
        <v>11</v>
      </c>
      <c r="D21" t="s">
        <v>12</v>
      </c>
      <c r="E21">
        <v>75000</v>
      </c>
      <c r="F21" t="s">
        <v>9</v>
      </c>
      <c r="H21">
        <f t="shared" si="0"/>
        <v>57234.567901234564</v>
      </c>
      <c r="I21">
        <f t="shared" si="1"/>
        <v>90000</v>
      </c>
      <c r="J21">
        <f t="shared" si="2"/>
        <v>25000</v>
      </c>
    </row>
    <row r="22" spans="1:12" x14ac:dyDescent="0.3">
      <c r="A22" t="s">
        <v>36</v>
      </c>
      <c r="B22">
        <v>50</v>
      </c>
      <c r="C22" t="s">
        <v>7</v>
      </c>
      <c r="D22" t="s">
        <v>14</v>
      </c>
      <c r="E22">
        <v>87000</v>
      </c>
      <c r="F22" t="s">
        <v>9</v>
      </c>
      <c r="H22">
        <f t="shared" si="0"/>
        <v>57012.5</v>
      </c>
      <c r="I22">
        <f t="shared" si="1"/>
        <v>90000</v>
      </c>
      <c r="J22">
        <f t="shared" si="2"/>
        <v>25000</v>
      </c>
    </row>
    <row r="23" spans="1:12" x14ac:dyDescent="0.3">
      <c r="A23" t="s">
        <v>37</v>
      </c>
      <c r="B23">
        <v>55</v>
      </c>
      <c r="C23" t="s">
        <v>11</v>
      </c>
      <c r="D23" t="s">
        <v>30</v>
      </c>
      <c r="E23">
        <v>33000</v>
      </c>
      <c r="F23" t="s">
        <v>9</v>
      </c>
      <c r="H23">
        <f t="shared" si="0"/>
        <v>56632.911392405062</v>
      </c>
      <c r="I23">
        <f t="shared" si="1"/>
        <v>90000</v>
      </c>
      <c r="J23">
        <f t="shared" si="2"/>
        <v>25000</v>
      </c>
      <c r="K23" s="3"/>
      <c r="L23" s="6"/>
    </row>
    <row r="24" spans="1:12" x14ac:dyDescent="0.3">
      <c r="A24" t="s">
        <v>38</v>
      </c>
      <c r="B24">
        <v>40</v>
      </c>
      <c r="C24" t="s">
        <v>11</v>
      </c>
      <c r="D24" t="s">
        <v>30</v>
      </c>
      <c r="E24">
        <v>78000</v>
      </c>
      <c r="F24" t="s">
        <v>9</v>
      </c>
      <c r="H24">
        <f t="shared" si="0"/>
        <v>56935.897435897437</v>
      </c>
      <c r="I24">
        <f t="shared" si="1"/>
        <v>90000</v>
      </c>
      <c r="J24">
        <f t="shared" si="2"/>
        <v>25000</v>
      </c>
    </row>
    <row r="25" spans="1:12" x14ac:dyDescent="0.3">
      <c r="A25" t="s">
        <v>39</v>
      </c>
      <c r="B25">
        <v>50</v>
      </c>
      <c r="C25" t="s">
        <v>7</v>
      </c>
      <c r="D25" t="s">
        <v>14</v>
      </c>
      <c r="E25">
        <v>86000</v>
      </c>
      <c r="F25" t="s">
        <v>9</v>
      </c>
      <c r="H25">
        <f t="shared" si="0"/>
        <v>56662.337662337661</v>
      </c>
      <c r="I25">
        <f t="shared" si="1"/>
        <v>90000</v>
      </c>
      <c r="J25">
        <f t="shared" si="2"/>
        <v>25000</v>
      </c>
    </row>
    <row r="26" spans="1:12" x14ac:dyDescent="0.3">
      <c r="A26" t="s">
        <v>40</v>
      </c>
      <c r="B26">
        <v>39</v>
      </c>
      <c r="C26" t="s">
        <v>7</v>
      </c>
      <c r="D26" t="s">
        <v>12</v>
      </c>
      <c r="E26">
        <v>44000</v>
      </c>
      <c r="F26" t="s">
        <v>9</v>
      </c>
      <c r="H26">
        <f t="shared" si="0"/>
        <v>56276.315789473687</v>
      </c>
      <c r="I26">
        <f t="shared" si="1"/>
        <v>90000</v>
      </c>
      <c r="J26">
        <f t="shared" si="2"/>
        <v>25000</v>
      </c>
    </row>
    <row r="27" spans="1:12" x14ac:dyDescent="0.3">
      <c r="A27" t="s">
        <v>41</v>
      </c>
      <c r="B27">
        <v>39</v>
      </c>
      <c r="C27" t="s">
        <v>11</v>
      </c>
      <c r="D27" t="s">
        <v>18</v>
      </c>
      <c r="E27">
        <v>53000</v>
      </c>
      <c r="F27" t="s">
        <v>9</v>
      </c>
      <c r="H27">
        <f t="shared" si="0"/>
        <v>56440</v>
      </c>
      <c r="I27">
        <f t="shared" si="1"/>
        <v>90000</v>
      </c>
      <c r="J27">
        <f t="shared" si="2"/>
        <v>25000</v>
      </c>
    </row>
    <row r="28" spans="1:12" x14ac:dyDescent="0.3">
      <c r="A28" t="s">
        <v>42</v>
      </c>
      <c r="B28">
        <v>43</v>
      </c>
      <c r="C28" t="s">
        <v>11</v>
      </c>
      <c r="D28" t="s">
        <v>30</v>
      </c>
      <c r="E28">
        <v>77000</v>
      </c>
      <c r="F28" t="s">
        <v>9</v>
      </c>
      <c r="H28">
        <f t="shared" si="0"/>
        <v>56486.486486486487</v>
      </c>
      <c r="I28">
        <f t="shared" si="1"/>
        <v>90000</v>
      </c>
      <c r="J28">
        <f t="shared" si="2"/>
        <v>25000</v>
      </c>
    </row>
    <row r="29" spans="1:12" x14ac:dyDescent="0.3">
      <c r="A29" t="s">
        <v>43</v>
      </c>
      <c r="B29">
        <v>58</v>
      </c>
      <c r="C29" t="s">
        <v>7</v>
      </c>
      <c r="D29" t="s">
        <v>8</v>
      </c>
      <c r="E29">
        <v>38000</v>
      </c>
      <c r="F29" t="s">
        <v>9</v>
      </c>
      <c r="H29">
        <f t="shared" si="0"/>
        <v>56205.479452054795</v>
      </c>
      <c r="I29">
        <f t="shared" si="1"/>
        <v>90000</v>
      </c>
      <c r="J29">
        <f t="shared" si="2"/>
        <v>25000</v>
      </c>
    </row>
    <row r="30" spans="1:12" x14ac:dyDescent="0.3">
      <c r="A30" t="s">
        <v>44</v>
      </c>
      <c r="B30">
        <v>28</v>
      </c>
      <c r="C30" t="s">
        <v>7</v>
      </c>
      <c r="D30" t="s">
        <v>8</v>
      </c>
      <c r="E30">
        <v>38000</v>
      </c>
      <c r="F30" t="s">
        <v>9</v>
      </c>
      <c r="H30">
        <f t="shared" si="0"/>
        <v>56458.333333333336</v>
      </c>
      <c r="I30">
        <f t="shared" si="1"/>
        <v>90000</v>
      </c>
      <c r="J30">
        <f t="shared" si="2"/>
        <v>25000</v>
      </c>
    </row>
    <row r="31" spans="1:12" x14ac:dyDescent="0.3">
      <c r="A31" t="s">
        <v>45</v>
      </c>
      <c r="B31">
        <v>32</v>
      </c>
      <c r="C31" t="s">
        <v>7</v>
      </c>
      <c r="D31" t="s">
        <v>14</v>
      </c>
      <c r="E31">
        <v>65000</v>
      </c>
      <c r="F31" t="s">
        <v>9</v>
      </c>
      <c r="H31">
        <f t="shared" si="0"/>
        <v>56718.309859154928</v>
      </c>
      <c r="I31">
        <f t="shared" si="1"/>
        <v>90000</v>
      </c>
      <c r="J31">
        <f t="shared" si="2"/>
        <v>25000</v>
      </c>
    </row>
    <row r="32" spans="1:12" x14ac:dyDescent="0.3">
      <c r="A32" t="s">
        <v>46</v>
      </c>
      <c r="B32">
        <v>27</v>
      </c>
      <c r="C32" t="s">
        <v>7</v>
      </c>
      <c r="D32" t="s">
        <v>12</v>
      </c>
      <c r="E32">
        <v>78000</v>
      </c>
      <c r="F32" t="s">
        <v>9</v>
      </c>
      <c r="H32">
        <f t="shared" si="0"/>
        <v>56600</v>
      </c>
      <c r="I32">
        <f t="shared" si="1"/>
        <v>90000</v>
      </c>
      <c r="J32">
        <f t="shared" si="2"/>
        <v>25000</v>
      </c>
    </row>
    <row r="33" spans="1:10" x14ac:dyDescent="0.3">
      <c r="A33" t="s">
        <v>47</v>
      </c>
      <c r="B33">
        <v>57</v>
      </c>
      <c r="C33" t="s">
        <v>11</v>
      </c>
      <c r="D33" t="s">
        <v>30</v>
      </c>
      <c r="E33">
        <v>64000</v>
      </c>
      <c r="F33" t="s">
        <v>9</v>
      </c>
      <c r="H33">
        <f t="shared" si="0"/>
        <v>56289.855072463768</v>
      </c>
      <c r="I33">
        <f t="shared" si="1"/>
        <v>90000</v>
      </c>
      <c r="J33">
        <f t="shared" si="2"/>
        <v>25000</v>
      </c>
    </row>
    <row r="34" spans="1:10" x14ac:dyDescent="0.3">
      <c r="A34" t="s">
        <v>48</v>
      </c>
      <c r="B34">
        <v>52</v>
      </c>
      <c r="C34" t="s">
        <v>11</v>
      </c>
      <c r="D34" t="s">
        <v>27</v>
      </c>
      <c r="E34">
        <v>45000</v>
      </c>
      <c r="F34" t="s">
        <v>9</v>
      </c>
      <c r="H34">
        <f t="shared" si="0"/>
        <v>56176.470588235294</v>
      </c>
      <c r="I34">
        <f t="shared" si="1"/>
        <v>90000</v>
      </c>
      <c r="J34">
        <f t="shared" si="2"/>
        <v>25000</v>
      </c>
    </row>
    <row r="35" spans="1:10" x14ac:dyDescent="0.3">
      <c r="A35" t="s">
        <v>49</v>
      </c>
      <c r="B35">
        <v>60</v>
      </c>
      <c r="C35" t="s">
        <v>7</v>
      </c>
      <c r="D35" t="s">
        <v>18</v>
      </c>
      <c r="E35">
        <v>85000</v>
      </c>
      <c r="F35" t="s">
        <v>9</v>
      </c>
      <c r="H35">
        <f t="shared" si="0"/>
        <v>56343.283582089549</v>
      </c>
      <c r="I35">
        <f t="shared" si="1"/>
        <v>90000</v>
      </c>
      <c r="J35">
        <f t="shared" si="2"/>
        <v>25000</v>
      </c>
    </row>
    <row r="36" spans="1:10" x14ac:dyDescent="0.3">
      <c r="A36" t="s">
        <v>50</v>
      </c>
      <c r="B36">
        <v>32</v>
      </c>
      <c r="C36" t="s">
        <v>7</v>
      </c>
      <c r="D36" t="s">
        <v>12</v>
      </c>
      <c r="E36">
        <v>76000</v>
      </c>
      <c r="F36" t="s">
        <v>9</v>
      </c>
      <c r="H36">
        <f t="shared" si="0"/>
        <v>55909.090909090912</v>
      </c>
      <c r="I36">
        <f t="shared" si="1"/>
        <v>90000</v>
      </c>
      <c r="J36">
        <f t="shared" si="2"/>
        <v>25000</v>
      </c>
    </row>
    <row r="37" spans="1:10" x14ac:dyDescent="0.3">
      <c r="A37" t="s">
        <v>51</v>
      </c>
      <c r="B37">
        <v>57</v>
      </c>
      <c r="C37" t="s">
        <v>7</v>
      </c>
      <c r="D37" t="s">
        <v>14</v>
      </c>
      <c r="E37">
        <v>71000</v>
      </c>
      <c r="F37" t="s">
        <v>9</v>
      </c>
      <c r="H37">
        <f t="shared" si="0"/>
        <v>55600</v>
      </c>
      <c r="I37">
        <f t="shared" si="1"/>
        <v>90000</v>
      </c>
      <c r="J37">
        <f t="shared" si="2"/>
        <v>25000</v>
      </c>
    </row>
    <row r="38" spans="1:10" x14ac:dyDescent="0.3">
      <c r="A38" t="s">
        <v>52</v>
      </c>
      <c r="B38">
        <v>41</v>
      </c>
      <c r="C38" t="s">
        <v>11</v>
      </c>
      <c r="D38" t="s">
        <v>12</v>
      </c>
      <c r="E38">
        <v>35000</v>
      </c>
      <c r="F38" t="s">
        <v>9</v>
      </c>
      <c r="H38">
        <f t="shared" si="0"/>
        <v>55359.375</v>
      </c>
      <c r="I38">
        <f t="shared" si="1"/>
        <v>90000</v>
      </c>
      <c r="J38">
        <f t="shared" si="2"/>
        <v>25000</v>
      </c>
    </row>
    <row r="39" spans="1:10" x14ac:dyDescent="0.3">
      <c r="A39" t="s">
        <v>53</v>
      </c>
      <c r="B39">
        <v>55</v>
      </c>
      <c r="C39" t="s">
        <v>7</v>
      </c>
      <c r="D39" t="s">
        <v>12</v>
      </c>
      <c r="E39">
        <v>77000</v>
      </c>
      <c r="F39" t="s">
        <v>9</v>
      </c>
      <c r="H39">
        <f t="shared" si="0"/>
        <v>55682.539682539682</v>
      </c>
      <c r="I39">
        <f t="shared" si="1"/>
        <v>90000</v>
      </c>
      <c r="J39">
        <f t="shared" si="2"/>
        <v>25000</v>
      </c>
    </row>
    <row r="40" spans="1:10" x14ac:dyDescent="0.3">
      <c r="A40" t="s">
        <v>54</v>
      </c>
      <c r="B40">
        <v>28</v>
      </c>
      <c r="C40" t="s">
        <v>7</v>
      </c>
      <c r="D40" t="s">
        <v>30</v>
      </c>
      <c r="E40">
        <v>82000</v>
      </c>
      <c r="F40" t="s">
        <v>9</v>
      </c>
      <c r="H40">
        <f t="shared" si="0"/>
        <v>55338.709677419356</v>
      </c>
      <c r="I40">
        <f t="shared" si="1"/>
        <v>90000</v>
      </c>
      <c r="J40">
        <f t="shared" si="2"/>
        <v>25000</v>
      </c>
    </row>
    <row r="41" spans="1:10" x14ac:dyDescent="0.3">
      <c r="A41" t="s">
        <v>55</v>
      </c>
      <c r="B41">
        <v>39</v>
      </c>
      <c r="C41" t="s">
        <v>11</v>
      </c>
      <c r="D41" t="s">
        <v>18</v>
      </c>
      <c r="E41">
        <v>76000</v>
      </c>
      <c r="F41" t="s">
        <v>9</v>
      </c>
      <c r="H41">
        <f t="shared" si="0"/>
        <v>54901.639344262294</v>
      </c>
      <c r="I41">
        <f t="shared" si="1"/>
        <v>90000</v>
      </c>
      <c r="J41">
        <f t="shared" si="2"/>
        <v>25000</v>
      </c>
    </row>
    <row r="42" spans="1:10" x14ac:dyDescent="0.3">
      <c r="A42" t="s">
        <v>56</v>
      </c>
      <c r="B42">
        <v>36</v>
      </c>
      <c r="C42" t="s">
        <v>11</v>
      </c>
      <c r="D42" t="s">
        <v>18</v>
      </c>
      <c r="E42">
        <v>56000</v>
      </c>
      <c r="F42" t="s">
        <v>9</v>
      </c>
      <c r="H42">
        <f t="shared" si="0"/>
        <v>54550</v>
      </c>
      <c r="I42">
        <f t="shared" si="1"/>
        <v>90000</v>
      </c>
      <c r="J42">
        <f t="shared" si="2"/>
        <v>25000</v>
      </c>
    </row>
    <row r="43" spans="1:10" x14ac:dyDescent="0.3">
      <c r="A43" t="s">
        <v>57</v>
      </c>
      <c r="B43">
        <v>52</v>
      </c>
      <c r="C43" t="s">
        <v>7</v>
      </c>
      <c r="D43" t="s">
        <v>30</v>
      </c>
      <c r="E43">
        <v>60000</v>
      </c>
      <c r="F43" t="s">
        <v>9</v>
      </c>
      <c r="H43">
        <f t="shared" si="0"/>
        <v>54525.423728813563</v>
      </c>
      <c r="I43">
        <f t="shared" si="1"/>
        <v>90000</v>
      </c>
      <c r="J43">
        <f t="shared" si="2"/>
        <v>25000</v>
      </c>
    </row>
    <row r="44" spans="1:10" x14ac:dyDescent="0.3">
      <c r="A44" t="s">
        <v>58</v>
      </c>
      <c r="B44">
        <v>30</v>
      </c>
      <c r="C44" t="s">
        <v>7</v>
      </c>
      <c r="D44" t="s">
        <v>12</v>
      </c>
      <c r="E44">
        <v>42000</v>
      </c>
      <c r="F44" t="s">
        <v>9</v>
      </c>
      <c r="H44">
        <f t="shared" si="0"/>
        <v>54431.034482758623</v>
      </c>
      <c r="I44">
        <f t="shared" si="1"/>
        <v>90000</v>
      </c>
      <c r="J44">
        <f t="shared" si="2"/>
        <v>25000</v>
      </c>
    </row>
    <row r="45" spans="1:10" x14ac:dyDescent="0.3">
      <c r="A45" t="s">
        <v>59</v>
      </c>
      <c r="B45">
        <v>41</v>
      </c>
      <c r="C45" t="s">
        <v>7</v>
      </c>
      <c r="D45" t="s">
        <v>12</v>
      </c>
      <c r="E45">
        <v>86000</v>
      </c>
      <c r="F45" t="s">
        <v>9</v>
      </c>
      <c r="H45">
        <f t="shared" si="0"/>
        <v>54649.122807017542</v>
      </c>
      <c r="I45">
        <f t="shared" si="1"/>
        <v>90000</v>
      </c>
      <c r="J45">
        <f t="shared" si="2"/>
        <v>25000</v>
      </c>
    </row>
    <row r="46" spans="1:10" x14ac:dyDescent="0.3">
      <c r="A46" t="s">
        <v>60</v>
      </c>
      <c r="B46">
        <v>52</v>
      </c>
      <c r="C46" t="s">
        <v>11</v>
      </c>
      <c r="D46" t="s">
        <v>18</v>
      </c>
      <c r="E46">
        <v>27000</v>
      </c>
      <c r="F46" t="s">
        <v>9</v>
      </c>
      <c r="H46">
        <f t="shared" si="0"/>
        <v>54089.285714285717</v>
      </c>
      <c r="I46">
        <f t="shared" si="1"/>
        <v>90000</v>
      </c>
      <c r="J46">
        <f t="shared" si="2"/>
        <v>25000</v>
      </c>
    </row>
    <row r="47" spans="1:10" x14ac:dyDescent="0.3">
      <c r="A47" t="s">
        <v>61</v>
      </c>
      <c r="B47">
        <v>52</v>
      </c>
      <c r="C47" t="s">
        <v>11</v>
      </c>
      <c r="D47" t="s">
        <v>8</v>
      </c>
      <c r="E47">
        <v>54000</v>
      </c>
      <c r="F47" t="s">
        <v>9</v>
      </c>
      <c r="H47">
        <f t="shared" si="0"/>
        <v>54581.818181818184</v>
      </c>
      <c r="I47">
        <f t="shared" si="1"/>
        <v>90000</v>
      </c>
      <c r="J47">
        <f t="shared" si="2"/>
        <v>25000</v>
      </c>
    </row>
    <row r="48" spans="1:10" x14ac:dyDescent="0.3">
      <c r="A48" t="s">
        <v>62</v>
      </c>
      <c r="B48">
        <v>30</v>
      </c>
      <c r="C48" t="s">
        <v>11</v>
      </c>
      <c r="D48" t="s">
        <v>8</v>
      </c>
      <c r="E48">
        <v>79000</v>
      </c>
      <c r="F48" t="s">
        <v>9</v>
      </c>
      <c r="H48">
        <f t="shared" si="0"/>
        <v>54592.592592592591</v>
      </c>
      <c r="I48">
        <f t="shared" si="1"/>
        <v>90000</v>
      </c>
      <c r="J48">
        <f t="shared" si="2"/>
        <v>25000</v>
      </c>
    </row>
    <row r="49" spans="1:10" x14ac:dyDescent="0.3">
      <c r="A49" t="s">
        <v>63</v>
      </c>
      <c r="B49">
        <v>28</v>
      </c>
      <c r="C49" t="s">
        <v>11</v>
      </c>
      <c r="D49" t="s">
        <v>18</v>
      </c>
      <c r="E49">
        <v>34000</v>
      </c>
      <c r="F49" t="s">
        <v>9</v>
      </c>
      <c r="H49">
        <f t="shared" si="0"/>
        <v>54132.07547169811</v>
      </c>
      <c r="I49">
        <f t="shared" si="1"/>
        <v>90000</v>
      </c>
      <c r="J49">
        <f t="shared" si="2"/>
        <v>25000</v>
      </c>
    </row>
    <row r="50" spans="1:10" x14ac:dyDescent="0.3">
      <c r="A50" t="s">
        <v>64</v>
      </c>
      <c r="B50">
        <v>53</v>
      </c>
      <c r="C50" t="s">
        <v>11</v>
      </c>
      <c r="D50" t="s">
        <v>18</v>
      </c>
      <c r="E50">
        <v>43000</v>
      </c>
      <c r="F50" t="s">
        <v>22</v>
      </c>
      <c r="H50">
        <f t="shared" si="0"/>
        <v>54519.230769230766</v>
      </c>
      <c r="I50">
        <f t="shared" si="1"/>
        <v>90000</v>
      </c>
      <c r="J50">
        <f t="shared" si="2"/>
        <v>25000</v>
      </c>
    </row>
    <row r="51" spans="1:10" x14ac:dyDescent="0.3">
      <c r="A51" t="s">
        <v>65</v>
      </c>
      <c r="B51">
        <v>28</v>
      </c>
      <c r="C51" t="s">
        <v>7</v>
      </c>
      <c r="D51" t="s">
        <v>8</v>
      </c>
      <c r="E51">
        <v>66000</v>
      </c>
      <c r="F51" t="s">
        <v>9</v>
      </c>
      <c r="H51">
        <f t="shared" si="0"/>
        <v>54745.098039215685</v>
      </c>
      <c r="I51">
        <f t="shared" si="1"/>
        <v>90000</v>
      </c>
      <c r="J51">
        <f t="shared" si="2"/>
        <v>25000</v>
      </c>
    </row>
    <row r="52" spans="1:10" x14ac:dyDescent="0.3">
      <c r="A52" t="s">
        <v>66</v>
      </c>
      <c r="B52">
        <v>22</v>
      </c>
      <c r="C52" t="s">
        <v>11</v>
      </c>
      <c r="D52" t="s">
        <v>30</v>
      </c>
      <c r="E52">
        <v>30000</v>
      </c>
      <c r="F52" t="s">
        <v>9</v>
      </c>
      <c r="H52">
        <f t="shared" si="0"/>
        <v>54520</v>
      </c>
      <c r="I52">
        <f t="shared" si="1"/>
        <v>90000</v>
      </c>
      <c r="J52">
        <f t="shared" si="2"/>
        <v>25000</v>
      </c>
    </row>
    <row r="53" spans="1:10" x14ac:dyDescent="0.3">
      <c r="A53" t="s">
        <v>67</v>
      </c>
      <c r="B53">
        <v>56</v>
      </c>
      <c r="C53" t="s">
        <v>11</v>
      </c>
      <c r="D53" t="s">
        <v>14</v>
      </c>
      <c r="E53">
        <v>25000</v>
      </c>
      <c r="F53" t="s">
        <v>9</v>
      </c>
      <c r="H53">
        <f t="shared" si="0"/>
        <v>55020.408163265303</v>
      </c>
      <c r="I53">
        <f t="shared" si="1"/>
        <v>90000</v>
      </c>
      <c r="J53">
        <f t="shared" si="2"/>
        <v>25000</v>
      </c>
    </row>
    <row r="54" spans="1:10" x14ac:dyDescent="0.3">
      <c r="A54" t="s">
        <v>68</v>
      </c>
      <c r="B54">
        <v>44</v>
      </c>
      <c r="C54" t="s">
        <v>11</v>
      </c>
      <c r="D54" t="s">
        <v>18</v>
      </c>
      <c r="E54">
        <v>43000</v>
      </c>
      <c r="F54" t="s">
        <v>9</v>
      </c>
      <c r="H54">
        <f t="shared" si="0"/>
        <v>55645.833333333336</v>
      </c>
      <c r="I54">
        <f t="shared" si="1"/>
        <v>90000</v>
      </c>
      <c r="J54">
        <f t="shared" si="2"/>
        <v>25000</v>
      </c>
    </row>
    <row r="55" spans="1:10" x14ac:dyDescent="0.3">
      <c r="A55" t="s">
        <v>69</v>
      </c>
      <c r="B55">
        <v>44</v>
      </c>
      <c r="C55" t="s">
        <v>11</v>
      </c>
      <c r="D55" t="s">
        <v>12</v>
      </c>
      <c r="E55">
        <v>73000</v>
      </c>
      <c r="F55" t="s">
        <v>9</v>
      </c>
      <c r="H55">
        <f t="shared" si="0"/>
        <v>55914.893617021276</v>
      </c>
      <c r="I55">
        <f t="shared" si="1"/>
        <v>90000</v>
      </c>
      <c r="J55">
        <f t="shared" si="2"/>
        <v>25000</v>
      </c>
    </row>
    <row r="56" spans="1:10" x14ac:dyDescent="0.3">
      <c r="A56" t="s">
        <v>70</v>
      </c>
      <c r="B56">
        <v>54</v>
      </c>
      <c r="C56" t="s">
        <v>11</v>
      </c>
      <c r="D56" t="s">
        <v>27</v>
      </c>
      <c r="E56">
        <v>59000</v>
      </c>
      <c r="F56" t="s">
        <v>9</v>
      </c>
      <c r="H56">
        <f t="shared" si="0"/>
        <v>55543.478260869568</v>
      </c>
      <c r="I56">
        <f t="shared" si="1"/>
        <v>90000</v>
      </c>
      <c r="J56">
        <f t="shared" si="2"/>
        <v>25000</v>
      </c>
    </row>
    <row r="57" spans="1:10" x14ac:dyDescent="0.3">
      <c r="A57" t="s">
        <v>71</v>
      </c>
      <c r="B57">
        <v>57</v>
      </c>
      <c r="C57" t="s">
        <v>11</v>
      </c>
      <c r="D57" t="s">
        <v>14</v>
      </c>
      <c r="E57">
        <v>68000</v>
      </c>
      <c r="F57" t="s">
        <v>9</v>
      </c>
      <c r="H57">
        <f t="shared" si="0"/>
        <v>55466.666666666664</v>
      </c>
      <c r="I57">
        <f t="shared" si="1"/>
        <v>90000</v>
      </c>
      <c r="J57">
        <f t="shared" si="2"/>
        <v>25000</v>
      </c>
    </row>
    <row r="58" spans="1:10" x14ac:dyDescent="0.3">
      <c r="A58" t="s">
        <v>72</v>
      </c>
      <c r="B58">
        <v>33</v>
      </c>
      <c r="C58" t="s">
        <v>7</v>
      </c>
      <c r="D58" t="s">
        <v>27</v>
      </c>
      <c r="E58">
        <v>73000</v>
      </c>
      <c r="F58" t="s">
        <v>22</v>
      </c>
      <c r="H58">
        <f t="shared" si="0"/>
        <v>55181.818181818184</v>
      </c>
      <c r="I58">
        <f t="shared" si="1"/>
        <v>90000</v>
      </c>
      <c r="J58">
        <f t="shared" si="2"/>
        <v>25000</v>
      </c>
    </row>
    <row r="59" spans="1:10" x14ac:dyDescent="0.3">
      <c r="A59" t="s">
        <v>73</v>
      </c>
      <c r="B59">
        <v>40</v>
      </c>
      <c r="C59" t="s">
        <v>7</v>
      </c>
      <c r="D59" t="s">
        <v>12</v>
      </c>
      <c r="E59">
        <v>62000</v>
      </c>
      <c r="F59" t="s">
        <v>9</v>
      </c>
      <c r="H59">
        <f t="shared" si="0"/>
        <v>54767.441860465115</v>
      </c>
      <c r="I59">
        <f t="shared" si="1"/>
        <v>90000</v>
      </c>
      <c r="J59">
        <f t="shared" si="2"/>
        <v>25000</v>
      </c>
    </row>
    <row r="60" spans="1:10" x14ac:dyDescent="0.3">
      <c r="A60" t="s">
        <v>74</v>
      </c>
      <c r="B60">
        <v>53</v>
      </c>
      <c r="C60" t="s">
        <v>11</v>
      </c>
      <c r="D60" t="s">
        <v>18</v>
      </c>
      <c r="E60">
        <v>34000</v>
      </c>
      <c r="F60" t="s">
        <v>9</v>
      </c>
      <c r="H60">
        <f t="shared" si="0"/>
        <v>54595.238095238092</v>
      </c>
      <c r="I60">
        <f t="shared" si="1"/>
        <v>90000</v>
      </c>
      <c r="J60">
        <f t="shared" si="2"/>
        <v>25000</v>
      </c>
    </row>
    <row r="61" spans="1:10" x14ac:dyDescent="0.3">
      <c r="A61" t="s">
        <v>75</v>
      </c>
      <c r="B61">
        <v>53</v>
      </c>
      <c r="C61" t="s">
        <v>11</v>
      </c>
      <c r="D61" t="s">
        <v>14</v>
      </c>
      <c r="E61">
        <v>68000</v>
      </c>
      <c r="F61" t="s">
        <v>9</v>
      </c>
      <c r="H61">
        <f t="shared" si="0"/>
        <v>55097.560975609755</v>
      </c>
      <c r="I61">
        <f t="shared" si="1"/>
        <v>90000</v>
      </c>
      <c r="J61">
        <f t="shared" si="2"/>
        <v>25000</v>
      </c>
    </row>
    <row r="62" spans="1:10" x14ac:dyDescent="0.3">
      <c r="A62" t="s">
        <v>76</v>
      </c>
      <c r="B62">
        <v>59</v>
      </c>
      <c r="C62" t="s">
        <v>11</v>
      </c>
      <c r="D62" t="s">
        <v>30</v>
      </c>
      <c r="E62">
        <v>87000</v>
      </c>
      <c r="F62" t="s">
        <v>22</v>
      </c>
      <c r="H62">
        <f t="shared" si="0"/>
        <v>54775</v>
      </c>
      <c r="I62">
        <f t="shared" si="1"/>
        <v>90000</v>
      </c>
      <c r="J62">
        <f t="shared" si="2"/>
        <v>25000</v>
      </c>
    </row>
    <row r="63" spans="1:10" x14ac:dyDescent="0.3">
      <c r="A63" t="s">
        <v>77</v>
      </c>
      <c r="B63">
        <v>57</v>
      </c>
      <c r="C63" t="s">
        <v>7</v>
      </c>
      <c r="D63" t="s">
        <v>14</v>
      </c>
      <c r="E63">
        <v>59000</v>
      </c>
      <c r="F63" t="s">
        <v>9</v>
      </c>
      <c r="H63">
        <f t="shared" si="0"/>
        <v>53948.717948717946</v>
      </c>
      <c r="I63">
        <f t="shared" si="1"/>
        <v>90000</v>
      </c>
      <c r="J63">
        <f t="shared" si="2"/>
        <v>25000</v>
      </c>
    </row>
    <row r="64" spans="1:10" x14ac:dyDescent="0.3">
      <c r="A64" t="s">
        <v>78</v>
      </c>
      <c r="B64">
        <v>34</v>
      </c>
      <c r="C64" t="s">
        <v>7</v>
      </c>
      <c r="D64" t="s">
        <v>14</v>
      </c>
      <c r="E64">
        <v>35000</v>
      </c>
      <c r="F64" t="s">
        <v>9</v>
      </c>
      <c r="H64">
        <f t="shared" si="0"/>
        <v>53815.789473684214</v>
      </c>
      <c r="I64">
        <f t="shared" si="1"/>
        <v>90000</v>
      </c>
      <c r="J64">
        <f t="shared" si="2"/>
        <v>25000</v>
      </c>
    </row>
    <row r="65" spans="1:10" x14ac:dyDescent="0.3">
      <c r="A65" t="s">
        <v>79</v>
      </c>
      <c r="B65">
        <v>33</v>
      </c>
      <c r="C65" t="s">
        <v>11</v>
      </c>
      <c r="D65" t="s">
        <v>27</v>
      </c>
      <c r="E65">
        <v>31000</v>
      </c>
      <c r="F65" t="s">
        <v>22</v>
      </c>
      <c r="H65">
        <f t="shared" si="0"/>
        <v>54324.324324324327</v>
      </c>
      <c r="I65">
        <f t="shared" si="1"/>
        <v>90000</v>
      </c>
      <c r="J65">
        <f t="shared" si="2"/>
        <v>25000</v>
      </c>
    </row>
    <row r="66" spans="1:10" x14ac:dyDescent="0.3">
      <c r="A66" t="s">
        <v>80</v>
      </c>
      <c r="B66">
        <v>34</v>
      </c>
      <c r="C66" t="s">
        <v>11</v>
      </c>
      <c r="D66" t="s">
        <v>8</v>
      </c>
      <c r="E66">
        <v>80000</v>
      </c>
      <c r="F66" t="s">
        <v>9</v>
      </c>
      <c r="H66">
        <f t="shared" si="0"/>
        <v>54972.222222222219</v>
      </c>
      <c r="I66">
        <f t="shared" si="1"/>
        <v>90000</v>
      </c>
      <c r="J66">
        <f t="shared" si="2"/>
        <v>25000</v>
      </c>
    </row>
    <row r="67" spans="1:10" x14ac:dyDescent="0.3">
      <c r="A67" t="s">
        <v>81</v>
      </c>
      <c r="B67">
        <v>52</v>
      </c>
      <c r="C67" t="s">
        <v>7</v>
      </c>
      <c r="D67" t="s">
        <v>8</v>
      </c>
      <c r="E67">
        <v>73000</v>
      </c>
      <c r="F67" t="s">
        <v>22</v>
      </c>
      <c r="H67">
        <f t="shared" ref="H67:H101" si="3">AVERAGE(E67:E166)</f>
        <v>54257.142857142855</v>
      </c>
      <c r="I67">
        <f t="shared" ref="I67:I101" si="4">MAX(E67:E166)</f>
        <v>90000</v>
      </c>
      <c r="J67">
        <f t="shared" ref="J67:J101" si="5">MIN(E67:E166)</f>
        <v>25000</v>
      </c>
    </row>
    <row r="68" spans="1:10" x14ac:dyDescent="0.3">
      <c r="A68" t="s">
        <v>82</v>
      </c>
      <c r="B68">
        <v>38</v>
      </c>
      <c r="C68" t="s">
        <v>7</v>
      </c>
      <c r="D68" t="s">
        <v>18</v>
      </c>
      <c r="E68">
        <v>35000</v>
      </c>
      <c r="F68" t="s">
        <v>9</v>
      </c>
      <c r="H68">
        <f t="shared" si="3"/>
        <v>53705.882352941175</v>
      </c>
      <c r="I68">
        <f t="shared" si="4"/>
        <v>90000</v>
      </c>
      <c r="J68">
        <f t="shared" si="5"/>
        <v>25000</v>
      </c>
    </row>
    <row r="69" spans="1:10" x14ac:dyDescent="0.3">
      <c r="A69" t="s">
        <v>83</v>
      </c>
      <c r="B69">
        <v>31</v>
      </c>
      <c r="C69" t="s">
        <v>11</v>
      </c>
      <c r="D69" t="s">
        <v>8</v>
      </c>
      <c r="E69">
        <v>75000</v>
      </c>
      <c r="F69" t="s">
        <v>9</v>
      </c>
      <c r="H69">
        <f t="shared" si="3"/>
        <v>54272.727272727272</v>
      </c>
      <c r="I69">
        <f t="shared" si="4"/>
        <v>90000</v>
      </c>
      <c r="J69">
        <f t="shared" si="5"/>
        <v>25000</v>
      </c>
    </row>
    <row r="70" spans="1:10" x14ac:dyDescent="0.3">
      <c r="A70" t="s">
        <v>84</v>
      </c>
      <c r="B70">
        <v>47</v>
      </c>
      <c r="C70" t="s">
        <v>11</v>
      </c>
      <c r="D70" t="s">
        <v>18</v>
      </c>
      <c r="E70">
        <v>34000</v>
      </c>
      <c r="F70" t="s">
        <v>9</v>
      </c>
      <c r="H70">
        <f t="shared" si="3"/>
        <v>53625</v>
      </c>
      <c r="I70">
        <f t="shared" si="4"/>
        <v>90000</v>
      </c>
      <c r="J70">
        <f t="shared" si="5"/>
        <v>25000</v>
      </c>
    </row>
    <row r="71" spans="1:10" x14ac:dyDescent="0.3">
      <c r="A71" t="s">
        <v>85</v>
      </c>
      <c r="B71">
        <v>48</v>
      </c>
      <c r="C71" t="s">
        <v>7</v>
      </c>
      <c r="D71" t="s">
        <v>18</v>
      </c>
      <c r="E71">
        <v>45000</v>
      </c>
      <c r="F71" t="s">
        <v>22</v>
      </c>
      <c r="H71">
        <f t="shared" si="3"/>
        <v>54258.06451612903</v>
      </c>
      <c r="I71">
        <f t="shared" si="4"/>
        <v>90000</v>
      </c>
      <c r="J71">
        <f t="shared" si="5"/>
        <v>25000</v>
      </c>
    </row>
    <row r="72" spans="1:10" x14ac:dyDescent="0.3">
      <c r="A72" t="s">
        <v>86</v>
      </c>
      <c r="B72">
        <v>37</v>
      </c>
      <c r="C72" t="s">
        <v>7</v>
      </c>
      <c r="D72" t="s">
        <v>14</v>
      </c>
      <c r="E72">
        <v>82000</v>
      </c>
      <c r="F72" t="s">
        <v>9</v>
      </c>
      <c r="H72">
        <f t="shared" si="3"/>
        <v>54566.666666666664</v>
      </c>
      <c r="I72">
        <f t="shared" si="4"/>
        <v>90000</v>
      </c>
      <c r="J72">
        <f t="shared" si="5"/>
        <v>25000</v>
      </c>
    </row>
    <row r="73" spans="1:10" x14ac:dyDescent="0.3">
      <c r="A73" t="s">
        <v>87</v>
      </c>
      <c r="B73">
        <v>40</v>
      </c>
      <c r="C73" t="s">
        <v>7</v>
      </c>
      <c r="D73" t="s">
        <v>12</v>
      </c>
      <c r="E73">
        <v>79000</v>
      </c>
      <c r="F73" t="s">
        <v>9</v>
      </c>
      <c r="H73">
        <f t="shared" si="3"/>
        <v>53620.689655172413</v>
      </c>
      <c r="I73">
        <f t="shared" si="4"/>
        <v>90000</v>
      </c>
      <c r="J73">
        <f t="shared" si="5"/>
        <v>25000</v>
      </c>
    </row>
    <row r="74" spans="1:10" x14ac:dyDescent="0.3">
      <c r="A74" t="s">
        <v>88</v>
      </c>
      <c r="B74">
        <v>49</v>
      </c>
      <c r="C74" t="s">
        <v>11</v>
      </c>
      <c r="D74" t="s">
        <v>27</v>
      </c>
      <c r="E74">
        <v>28000</v>
      </c>
      <c r="F74" t="s">
        <v>9</v>
      </c>
      <c r="H74">
        <f t="shared" si="3"/>
        <v>52714.285714285717</v>
      </c>
      <c r="I74">
        <f t="shared" si="4"/>
        <v>90000</v>
      </c>
      <c r="J74">
        <f t="shared" si="5"/>
        <v>25000</v>
      </c>
    </row>
    <row r="75" spans="1:10" x14ac:dyDescent="0.3">
      <c r="A75" t="s">
        <v>89</v>
      </c>
      <c r="B75">
        <v>49</v>
      </c>
      <c r="C75" t="s">
        <v>11</v>
      </c>
      <c r="D75" t="s">
        <v>14</v>
      </c>
      <c r="E75">
        <v>64000</v>
      </c>
      <c r="F75" t="s">
        <v>9</v>
      </c>
      <c r="H75">
        <f t="shared" si="3"/>
        <v>53629.629629629628</v>
      </c>
      <c r="I75">
        <f t="shared" si="4"/>
        <v>90000</v>
      </c>
      <c r="J75">
        <f t="shared" si="5"/>
        <v>25000</v>
      </c>
    </row>
    <row r="76" spans="1:10" x14ac:dyDescent="0.3">
      <c r="A76" t="s">
        <v>90</v>
      </c>
      <c r="B76">
        <v>53</v>
      </c>
      <c r="C76" t="s">
        <v>7</v>
      </c>
      <c r="D76" t="s">
        <v>14</v>
      </c>
      <c r="E76">
        <v>67000</v>
      </c>
      <c r="F76" t="s">
        <v>9</v>
      </c>
      <c r="H76">
        <f t="shared" si="3"/>
        <v>53230.769230769234</v>
      </c>
      <c r="I76">
        <f t="shared" si="4"/>
        <v>90000</v>
      </c>
      <c r="J76">
        <f t="shared" si="5"/>
        <v>25000</v>
      </c>
    </row>
    <row r="77" spans="1:10" x14ac:dyDescent="0.3">
      <c r="A77" t="s">
        <v>91</v>
      </c>
      <c r="B77">
        <v>26</v>
      </c>
      <c r="C77" t="s">
        <v>7</v>
      </c>
      <c r="D77" t="s">
        <v>12</v>
      </c>
      <c r="E77">
        <v>32000</v>
      </c>
      <c r="F77" t="s">
        <v>9</v>
      </c>
      <c r="H77">
        <f t="shared" si="3"/>
        <v>52680</v>
      </c>
      <c r="I77">
        <f t="shared" si="4"/>
        <v>90000</v>
      </c>
      <c r="J77">
        <f t="shared" si="5"/>
        <v>25000</v>
      </c>
    </row>
    <row r="78" spans="1:10" x14ac:dyDescent="0.3">
      <c r="A78" t="s">
        <v>92</v>
      </c>
      <c r="B78">
        <v>38</v>
      </c>
      <c r="C78" t="s">
        <v>7</v>
      </c>
      <c r="D78" t="s">
        <v>18</v>
      </c>
      <c r="E78">
        <v>72000</v>
      </c>
      <c r="F78" t="s">
        <v>9</v>
      </c>
      <c r="H78">
        <f t="shared" si="3"/>
        <v>53541.666666666664</v>
      </c>
      <c r="I78">
        <f t="shared" si="4"/>
        <v>90000</v>
      </c>
      <c r="J78">
        <f t="shared" si="5"/>
        <v>25000</v>
      </c>
    </row>
    <row r="79" spans="1:10" x14ac:dyDescent="0.3">
      <c r="A79" t="s">
        <v>93</v>
      </c>
      <c r="B79">
        <v>54</v>
      </c>
      <c r="C79" t="s">
        <v>7</v>
      </c>
      <c r="D79" t="s">
        <v>14</v>
      </c>
      <c r="E79">
        <v>71000</v>
      </c>
      <c r="F79" t="s">
        <v>22</v>
      </c>
      <c r="H79">
        <f t="shared" si="3"/>
        <v>52739.130434782608</v>
      </c>
      <c r="I79">
        <f t="shared" si="4"/>
        <v>90000</v>
      </c>
      <c r="J79">
        <f t="shared" si="5"/>
        <v>25000</v>
      </c>
    </row>
    <row r="80" spans="1:10" x14ac:dyDescent="0.3">
      <c r="A80" t="s">
        <v>94</v>
      </c>
      <c r="B80">
        <v>23</v>
      </c>
      <c r="C80" t="s">
        <v>7</v>
      </c>
      <c r="D80" t="s">
        <v>12</v>
      </c>
      <c r="E80">
        <v>25000</v>
      </c>
      <c r="F80" t="s">
        <v>9</v>
      </c>
      <c r="H80">
        <f t="shared" si="3"/>
        <v>51909.090909090912</v>
      </c>
      <c r="I80">
        <f t="shared" si="4"/>
        <v>90000</v>
      </c>
      <c r="J80">
        <f t="shared" si="5"/>
        <v>25000</v>
      </c>
    </row>
    <row r="81" spans="1:10" x14ac:dyDescent="0.3">
      <c r="A81" t="s">
        <v>95</v>
      </c>
      <c r="B81">
        <v>33</v>
      </c>
      <c r="C81" t="s">
        <v>7</v>
      </c>
      <c r="D81" t="s">
        <v>14</v>
      </c>
      <c r="E81">
        <v>68000</v>
      </c>
      <c r="F81" t="s">
        <v>9</v>
      </c>
      <c r="H81">
        <f t="shared" si="3"/>
        <v>53190.476190476191</v>
      </c>
      <c r="I81">
        <f t="shared" si="4"/>
        <v>90000</v>
      </c>
      <c r="J81">
        <f t="shared" si="5"/>
        <v>29000</v>
      </c>
    </row>
    <row r="82" spans="1:10" x14ac:dyDescent="0.3">
      <c r="A82" t="s">
        <v>96</v>
      </c>
      <c r="B82">
        <v>29</v>
      </c>
      <c r="C82" t="s">
        <v>11</v>
      </c>
      <c r="D82" t="s">
        <v>27</v>
      </c>
      <c r="E82">
        <v>29000</v>
      </c>
      <c r="F82" t="s">
        <v>9</v>
      </c>
      <c r="H82">
        <f t="shared" si="3"/>
        <v>52450</v>
      </c>
      <c r="I82">
        <f t="shared" si="4"/>
        <v>90000</v>
      </c>
      <c r="J82">
        <f t="shared" si="5"/>
        <v>29000</v>
      </c>
    </row>
    <row r="83" spans="1:10" x14ac:dyDescent="0.3">
      <c r="A83" t="s">
        <v>97</v>
      </c>
      <c r="B83">
        <v>54</v>
      </c>
      <c r="C83" t="s">
        <v>11</v>
      </c>
      <c r="D83" t="s">
        <v>14</v>
      </c>
      <c r="E83">
        <v>57000</v>
      </c>
      <c r="F83" t="s">
        <v>9</v>
      </c>
      <c r="H83">
        <f t="shared" si="3"/>
        <v>53684.210526315786</v>
      </c>
      <c r="I83">
        <f t="shared" si="4"/>
        <v>90000</v>
      </c>
      <c r="J83">
        <f t="shared" si="5"/>
        <v>32000</v>
      </c>
    </row>
    <row r="84" spans="1:10" x14ac:dyDescent="0.3">
      <c r="A84" t="s">
        <v>98</v>
      </c>
      <c r="B84">
        <v>31</v>
      </c>
      <c r="C84" t="s">
        <v>11</v>
      </c>
      <c r="D84" t="s">
        <v>8</v>
      </c>
      <c r="E84">
        <v>59000</v>
      </c>
      <c r="F84" t="s">
        <v>9</v>
      </c>
      <c r="H84">
        <f t="shared" si="3"/>
        <v>53500</v>
      </c>
      <c r="I84">
        <f t="shared" si="4"/>
        <v>90000</v>
      </c>
      <c r="J84">
        <f t="shared" si="5"/>
        <v>32000</v>
      </c>
    </row>
    <row r="85" spans="1:10" x14ac:dyDescent="0.3">
      <c r="A85" t="s">
        <v>99</v>
      </c>
      <c r="B85">
        <v>47</v>
      </c>
      <c r="C85" t="s">
        <v>11</v>
      </c>
      <c r="D85" t="s">
        <v>18</v>
      </c>
      <c r="E85">
        <v>78000</v>
      </c>
      <c r="F85" t="s">
        <v>9</v>
      </c>
      <c r="H85">
        <f t="shared" si="3"/>
        <v>53176.470588235294</v>
      </c>
      <c r="I85">
        <f t="shared" si="4"/>
        <v>90000</v>
      </c>
      <c r="J85">
        <f t="shared" si="5"/>
        <v>32000</v>
      </c>
    </row>
    <row r="86" spans="1:10" x14ac:dyDescent="0.3">
      <c r="A86" t="s">
        <v>100</v>
      </c>
      <c r="B86">
        <v>36</v>
      </c>
      <c r="C86" t="s">
        <v>7</v>
      </c>
      <c r="D86" t="s">
        <v>8</v>
      </c>
      <c r="E86">
        <v>71000</v>
      </c>
      <c r="F86" t="s">
        <v>22</v>
      </c>
      <c r="H86">
        <f t="shared" si="3"/>
        <v>51625</v>
      </c>
      <c r="I86">
        <f t="shared" si="4"/>
        <v>90000</v>
      </c>
      <c r="J86">
        <f t="shared" si="5"/>
        <v>32000</v>
      </c>
    </row>
    <row r="87" spans="1:10" x14ac:dyDescent="0.3">
      <c r="A87" t="s">
        <v>101</v>
      </c>
      <c r="B87">
        <v>42</v>
      </c>
      <c r="C87" t="s">
        <v>11</v>
      </c>
      <c r="D87" t="s">
        <v>12</v>
      </c>
      <c r="E87">
        <v>38000</v>
      </c>
      <c r="F87" t="s">
        <v>9</v>
      </c>
      <c r="H87">
        <f t="shared" si="3"/>
        <v>50333.333333333336</v>
      </c>
      <c r="I87">
        <f t="shared" si="4"/>
        <v>90000</v>
      </c>
      <c r="J87">
        <f t="shared" si="5"/>
        <v>32000</v>
      </c>
    </row>
    <row r="88" spans="1:10" x14ac:dyDescent="0.3">
      <c r="A88" t="s">
        <v>102</v>
      </c>
      <c r="B88">
        <v>47</v>
      </c>
      <c r="C88" t="s">
        <v>11</v>
      </c>
      <c r="D88" t="s">
        <v>12</v>
      </c>
      <c r="E88">
        <v>33000</v>
      </c>
      <c r="F88" t="s">
        <v>22</v>
      </c>
      <c r="H88">
        <f t="shared" si="3"/>
        <v>51214.285714285717</v>
      </c>
      <c r="I88">
        <f t="shared" si="4"/>
        <v>90000</v>
      </c>
      <c r="J88">
        <f t="shared" si="5"/>
        <v>32000</v>
      </c>
    </row>
    <row r="89" spans="1:10" x14ac:dyDescent="0.3">
      <c r="A89" t="s">
        <v>103</v>
      </c>
      <c r="B89">
        <v>57</v>
      </c>
      <c r="C89" t="s">
        <v>11</v>
      </c>
      <c r="D89" t="s">
        <v>14</v>
      </c>
      <c r="E89">
        <v>42000</v>
      </c>
      <c r="F89" t="s">
        <v>9</v>
      </c>
      <c r="H89">
        <f t="shared" si="3"/>
        <v>52615.384615384617</v>
      </c>
      <c r="I89">
        <f t="shared" si="4"/>
        <v>90000</v>
      </c>
      <c r="J89">
        <f t="shared" si="5"/>
        <v>32000</v>
      </c>
    </row>
    <row r="90" spans="1:10" x14ac:dyDescent="0.3">
      <c r="A90" t="s">
        <v>104</v>
      </c>
      <c r="B90">
        <v>40</v>
      </c>
      <c r="C90" t="s">
        <v>7</v>
      </c>
      <c r="D90" t="s">
        <v>27</v>
      </c>
      <c r="E90">
        <v>33000</v>
      </c>
      <c r="F90" t="s">
        <v>9</v>
      </c>
      <c r="H90">
        <f t="shared" si="3"/>
        <v>53500</v>
      </c>
      <c r="I90">
        <f t="shared" si="4"/>
        <v>90000</v>
      </c>
      <c r="J90">
        <f t="shared" si="5"/>
        <v>32000</v>
      </c>
    </row>
    <row r="91" spans="1:10" x14ac:dyDescent="0.3">
      <c r="A91" t="s">
        <v>105</v>
      </c>
      <c r="B91">
        <v>53</v>
      </c>
      <c r="C91" t="s">
        <v>11</v>
      </c>
      <c r="D91" t="s">
        <v>27</v>
      </c>
      <c r="E91">
        <v>32000</v>
      </c>
      <c r="F91" t="s">
        <v>22</v>
      </c>
      <c r="H91">
        <f t="shared" si="3"/>
        <v>55363.63636363636</v>
      </c>
      <c r="I91">
        <f t="shared" si="4"/>
        <v>90000</v>
      </c>
      <c r="J91">
        <f t="shared" si="5"/>
        <v>32000</v>
      </c>
    </row>
    <row r="92" spans="1:10" x14ac:dyDescent="0.3">
      <c r="A92" t="s">
        <v>106</v>
      </c>
      <c r="B92">
        <v>53</v>
      </c>
      <c r="C92" t="s">
        <v>11</v>
      </c>
      <c r="D92" t="s">
        <v>12</v>
      </c>
      <c r="E92">
        <v>34000</v>
      </c>
      <c r="F92" t="s">
        <v>9</v>
      </c>
      <c r="H92">
        <f t="shared" si="3"/>
        <v>57700</v>
      </c>
      <c r="I92">
        <f t="shared" si="4"/>
        <v>90000</v>
      </c>
      <c r="J92">
        <f t="shared" si="5"/>
        <v>33000</v>
      </c>
    </row>
    <row r="93" spans="1:10" x14ac:dyDescent="0.3">
      <c r="A93" t="s">
        <v>107</v>
      </c>
      <c r="B93">
        <v>37</v>
      </c>
      <c r="C93" t="s">
        <v>11</v>
      </c>
      <c r="D93" t="s">
        <v>8</v>
      </c>
      <c r="E93">
        <v>57000</v>
      </c>
      <c r="F93" t="s">
        <v>9</v>
      </c>
      <c r="H93">
        <f t="shared" si="3"/>
        <v>60333.333333333336</v>
      </c>
      <c r="I93">
        <f t="shared" si="4"/>
        <v>90000</v>
      </c>
      <c r="J93">
        <f t="shared" si="5"/>
        <v>33000</v>
      </c>
    </row>
    <row r="94" spans="1:10" x14ac:dyDescent="0.3">
      <c r="A94" t="s">
        <v>108</v>
      </c>
      <c r="B94">
        <v>54</v>
      </c>
      <c r="C94" t="s">
        <v>7</v>
      </c>
      <c r="D94" t="s">
        <v>12</v>
      </c>
      <c r="E94">
        <v>41000</v>
      </c>
      <c r="F94" t="s">
        <v>9</v>
      </c>
      <c r="H94">
        <f t="shared" si="3"/>
        <v>60750</v>
      </c>
      <c r="I94">
        <f t="shared" si="4"/>
        <v>90000</v>
      </c>
      <c r="J94">
        <f t="shared" si="5"/>
        <v>33000</v>
      </c>
    </row>
    <row r="95" spans="1:10" x14ac:dyDescent="0.3">
      <c r="A95" t="s">
        <v>109</v>
      </c>
      <c r="B95">
        <v>24</v>
      </c>
      <c r="C95" t="s">
        <v>7</v>
      </c>
      <c r="D95" t="s">
        <v>27</v>
      </c>
      <c r="E95">
        <v>33000</v>
      </c>
      <c r="F95" t="s">
        <v>9</v>
      </c>
      <c r="H95">
        <f t="shared" si="3"/>
        <v>63571.428571428572</v>
      </c>
      <c r="I95">
        <f t="shared" si="4"/>
        <v>90000</v>
      </c>
      <c r="J95">
        <f t="shared" si="5"/>
        <v>33000</v>
      </c>
    </row>
    <row r="96" spans="1:10" x14ac:dyDescent="0.3">
      <c r="A96" t="s">
        <v>110</v>
      </c>
      <c r="B96">
        <v>58</v>
      </c>
      <c r="C96" t="s">
        <v>11</v>
      </c>
      <c r="D96" t="s">
        <v>18</v>
      </c>
      <c r="E96">
        <v>89000</v>
      </c>
      <c r="F96" t="s">
        <v>9</v>
      </c>
      <c r="H96">
        <f t="shared" si="3"/>
        <v>68666.666666666672</v>
      </c>
      <c r="I96">
        <f t="shared" si="4"/>
        <v>90000</v>
      </c>
      <c r="J96">
        <f t="shared" si="5"/>
        <v>42000</v>
      </c>
    </row>
    <row r="97" spans="1:10" x14ac:dyDescent="0.3">
      <c r="A97" t="s">
        <v>111</v>
      </c>
      <c r="B97">
        <v>47</v>
      </c>
      <c r="C97" t="s">
        <v>11</v>
      </c>
      <c r="D97" t="s">
        <v>14</v>
      </c>
      <c r="E97">
        <v>90000</v>
      </c>
      <c r="F97" t="s">
        <v>9</v>
      </c>
      <c r="H97">
        <f t="shared" si="3"/>
        <v>64600</v>
      </c>
      <c r="I97">
        <f t="shared" si="4"/>
        <v>90000</v>
      </c>
      <c r="J97">
        <f t="shared" si="5"/>
        <v>42000</v>
      </c>
    </row>
    <row r="98" spans="1:10" x14ac:dyDescent="0.3">
      <c r="A98" t="s">
        <v>112</v>
      </c>
      <c r="B98">
        <v>23</v>
      </c>
      <c r="C98" t="s">
        <v>7</v>
      </c>
      <c r="D98" t="s">
        <v>30</v>
      </c>
      <c r="E98">
        <v>60000</v>
      </c>
      <c r="F98" t="s">
        <v>9</v>
      </c>
      <c r="H98">
        <f t="shared" si="3"/>
        <v>58250</v>
      </c>
      <c r="I98">
        <f t="shared" si="4"/>
        <v>77000</v>
      </c>
      <c r="J98">
        <f t="shared" si="5"/>
        <v>42000</v>
      </c>
    </row>
    <row r="99" spans="1:10" x14ac:dyDescent="0.3">
      <c r="A99" t="s">
        <v>113</v>
      </c>
      <c r="B99">
        <v>46</v>
      </c>
      <c r="C99" t="s">
        <v>11</v>
      </c>
      <c r="D99" t="s">
        <v>14</v>
      </c>
      <c r="E99">
        <v>77000</v>
      </c>
      <c r="F99" t="s">
        <v>9</v>
      </c>
      <c r="H99">
        <f t="shared" si="3"/>
        <v>57666.666666666664</v>
      </c>
      <c r="I99">
        <f t="shared" si="4"/>
        <v>77000</v>
      </c>
      <c r="J99">
        <f t="shared" si="5"/>
        <v>42000</v>
      </c>
    </row>
    <row r="100" spans="1:10" x14ac:dyDescent="0.3">
      <c r="A100" t="s">
        <v>114</v>
      </c>
      <c r="B100">
        <v>47</v>
      </c>
      <c r="C100" t="s">
        <v>7</v>
      </c>
      <c r="D100" t="s">
        <v>14</v>
      </c>
      <c r="E100">
        <v>54000</v>
      </c>
      <c r="F100" t="s">
        <v>9</v>
      </c>
      <c r="H100">
        <f t="shared" si="3"/>
        <v>48000</v>
      </c>
      <c r="I100">
        <f t="shared" si="4"/>
        <v>54000</v>
      </c>
      <c r="J100">
        <f t="shared" si="5"/>
        <v>42000</v>
      </c>
    </row>
    <row r="101" spans="1:10" x14ac:dyDescent="0.3">
      <c r="A101" t="s">
        <v>115</v>
      </c>
      <c r="B101">
        <v>40</v>
      </c>
      <c r="C101" t="s">
        <v>11</v>
      </c>
      <c r="D101" t="s">
        <v>27</v>
      </c>
      <c r="E101">
        <v>42000</v>
      </c>
      <c r="F101" t="s">
        <v>9</v>
      </c>
      <c r="H101">
        <f t="shared" si="3"/>
        <v>42000</v>
      </c>
      <c r="I101">
        <f t="shared" si="4"/>
        <v>42000</v>
      </c>
      <c r="J101">
        <f t="shared" si="5"/>
        <v>42000</v>
      </c>
    </row>
    <row r="104" spans="1:10" x14ac:dyDescent="0.3">
      <c r="A104" t="s">
        <v>128</v>
      </c>
      <c r="B104">
        <f>AVERAGE(E2:E101)</f>
        <v>55737.373737373739</v>
      </c>
    </row>
    <row r="105" spans="1:10" x14ac:dyDescent="0.3">
      <c r="A105" t="s">
        <v>129</v>
      </c>
      <c r="B105">
        <f>MAX(E2:E101)</f>
        <v>90000</v>
      </c>
      <c r="E105" t="s">
        <v>135</v>
      </c>
      <c r="F105">
        <f>COUNTIF(F2:F101,"YES")</f>
        <v>13</v>
      </c>
    </row>
    <row r="106" spans="1:10" x14ac:dyDescent="0.3">
      <c r="A106" t="s">
        <v>130</v>
      </c>
      <c r="B106">
        <f>MIN(E2:E101)</f>
        <v>25000</v>
      </c>
      <c r="E106" t="s">
        <v>136</v>
      </c>
      <c r="F106">
        <f>COUNTIF(F2:F101,"Yes")/COUNTA(A2:A101)</f>
        <v>0.13</v>
      </c>
    </row>
  </sheetData>
  <phoneticPr fontId="2" type="noConversion"/>
  <pageMargins left="0.75" right="0.75" top="1" bottom="1" header="0.5" footer="0.5"/>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displayEmptyCellsAs="gap" xr2:uid="{C523F68C-D33E-4761-B08B-B788A03D3609}">
          <x14:colorSeries rgb="FF376092"/>
          <x14:colorNegative rgb="FFD00000"/>
          <x14:colorAxis rgb="FF000000"/>
          <x14:colorMarkers rgb="FFD00000"/>
          <x14:colorFirst rgb="FFD00000"/>
          <x14:colorLast rgb="FFD00000"/>
          <x14:colorHigh rgb="FFD00000"/>
          <x14:colorLow rgb="FFD00000"/>
          <x14:sparklines>
            <x14:sparkline>
              <xm:f>HR_Records!F106:F106</xm:f>
              <xm:sqref>H106</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57D0-4256-4E0F-93C1-3E927200B989}">
  <dimension ref="C3:K31"/>
  <sheetViews>
    <sheetView workbookViewId="0">
      <selection activeCell="D29" sqref="D29"/>
    </sheetView>
  </sheetViews>
  <sheetFormatPr defaultRowHeight="14.4" x14ac:dyDescent="0.3"/>
  <cols>
    <col min="3" max="3" width="19.109375" bestFit="1" customWidth="1"/>
    <col min="4" max="4" width="15.5546875" bestFit="1" customWidth="1"/>
    <col min="5" max="5" width="10.77734375" bestFit="1" customWidth="1"/>
    <col min="8" max="8" width="19.109375" bestFit="1" customWidth="1"/>
    <col min="9" max="9" width="20.109375" bestFit="1" customWidth="1"/>
    <col min="10" max="10" width="16.77734375" bestFit="1" customWidth="1"/>
    <col min="11" max="11" width="16.44140625" bestFit="1" customWidth="1"/>
  </cols>
  <sheetData>
    <row r="3" spans="3:11" x14ac:dyDescent="0.3">
      <c r="C3" s="8" t="s">
        <v>120</v>
      </c>
      <c r="H3" s="8" t="s">
        <v>134</v>
      </c>
    </row>
    <row r="4" spans="3:11" x14ac:dyDescent="0.3">
      <c r="C4" s="1" t="s">
        <v>116</v>
      </c>
      <c r="D4" s="1" t="s">
        <v>117</v>
      </c>
      <c r="H4" s="1" t="s">
        <v>118</v>
      </c>
      <c r="I4" s="1" t="s">
        <v>131</v>
      </c>
      <c r="J4" t="s">
        <v>132</v>
      </c>
      <c r="K4" t="s">
        <v>133</v>
      </c>
    </row>
    <row r="5" spans="3:11" x14ac:dyDescent="0.3">
      <c r="C5" s="1" t="s">
        <v>118</v>
      </c>
      <c r="D5" t="s">
        <v>22</v>
      </c>
      <c r="E5" t="s">
        <v>119</v>
      </c>
      <c r="H5" s="2" t="s">
        <v>27</v>
      </c>
      <c r="I5" s="4">
        <v>368572.19525135122</v>
      </c>
      <c r="J5" s="5">
        <v>582000</v>
      </c>
      <c r="K5" s="5">
        <v>203000</v>
      </c>
    </row>
    <row r="6" spans="3:11" x14ac:dyDescent="0.3">
      <c r="C6" s="2" t="s">
        <v>18</v>
      </c>
      <c r="D6" s="5">
        <v>3</v>
      </c>
      <c r="E6" s="5">
        <v>3</v>
      </c>
      <c r="H6" s="2" t="s">
        <v>30</v>
      </c>
      <c r="I6" s="4">
        <v>392395.96434074111</v>
      </c>
      <c r="J6" s="5">
        <v>630000</v>
      </c>
      <c r="K6" s="5">
        <v>175000</v>
      </c>
    </row>
    <row r="7" spans="3:11" x14ac:dyDescent="0.3">
      <c r="C7" s="2" t="s">
        <v>8</v>
      </c>
      <c r="D7" s="5">
        <v>3</v>
      </c>
      <c r="E7" s="5">
        <v>3</v>
      </c>
      <c r="H7" s="2" t="s">
        <v>8</v>
      </c>
      <c r="I7" s="4">
        <v>389550.31265031261</v>
      </c>
      <c r="J7" s="5">
        <v>630000</v>
      </c>
      <c r="K7" s="5">
        <v>190000</v>
      </c>
    </row>
    <row r="8" spans="3:11" x14ac:dyDescent="0.3">
      <c r="C8" s="2" t="s">
        <v>27</v>
      </c>
      <c r="D8" s="5">
        <v>3</v>
      </c>
      <c r="E8" s="5">
        <v>3</v>
      </c>
      <c r="H8" s="2" t="s">
        <v>12</v>
      </c>
      <c r="I8" s="4">
        <v>496024.62142779073</v>
      </c>
      <c r="J8" s="5">
        <v>810000</v>
      </c>
      <c r="K8" s="5">
        <v>247000</v>
      </c>
    </row>
    <row r="9" spans="3:11" x14ac:dyDescent="0.3">
      <c r="C9" s="2" t="s">
        <v>12</v>
      </c>
      <c r="D9" s="5">
        <v>2</v>
      </c>
      <c r="E9" s="5">
        <v>2</v>
      </c>
      <c r="H9" s="2" t="s">
        <v>14</v>
      </c>
      <c r="I9" s="4">
        <v>673518.72631545668</v>
      </c>
      <c r="J9" s="5">
        <v>1067000</v>
      </c>
      <c r="K9" s="5">
        <v>348000</v>
      </c>
    </row>
    <row r="10" spans="3:11" x14ac:dyDescent="0.3">
      <c r="C10" s="2" t="s">
        <v>14</v>
      </c>
      <c r="D10" s="5">
        <v>1</v>
      </c>
      <c r="E10" s="5">
        <v>1</v>
      </c>
      <c r="H10" s="2" t="s">
        <v>18</v>
      </c>
      <c r="I10" s="4">
        <v>670787.09215686331</v>
      </c>
      <c r="J10" s="5">
        <v>1080000</v>
      </c>
      <c r="K10" s="5">
        <v>324000</v>
      </c>
    </row>
    <row r="11" spans="3:11" x14ac:dyDescent="0.3">
      <c r="C11" s="2" t="s">
        <v>30</v>
      </c>
      <c r="D11" s="5">
        <v>1</v>
      </c>
      <c r="E11" s="5">
        <v>1</v>
      </c>
      <c r="H11" s="2" t="s">
        <v>119</v>
      </c>
      <c r="I11" s="4">
        <v>2990848.9121425161</v>
      </c>
      <c r="J11" s="5">
        <v>4799000</v>
      </c>
      <c r="K11" s="5">
        <v>1487000</v>
      </c>
    </row>
    <row r="12" spans="3:11" x14ac:dyDescent="0.3">
      <c r="C12" s="2" t="s">
        <v>119</v>
      </c>
      <c r="D12" s="5">
        <v>13</v>
      </c>
      <c r="E12" s="5">
        <v>13</v>
      </c>
    </row>
    <row r="16" spans="3:11" x14ac:dyDescent="0.3">
      <c r="C16" s="8" t="s">
        <v>126</v>
      </c>
      <c r="H16" s="8" t="s">
        <v>121</v>
      </c>
    </row>
    <row r="17" spans="3:11" x14ac:dyDescent="0.3">
      <c r="C17" s="1" t="s">
        <v>118</v>
      </c>
      <c r="D17" t="s">
        <v>116</v>
      </c>
      <c r="H17" s="1" t="s">
        <v>116</v>
      </c>
      <c r="I17" s="1" t="s">
        <v>117</v>
      </c>
    </row>
    <row r="18" spans="3:11" x14ac:dyDescent="0.3">
      <c r="C18" s="2" t="s">
        <v>122</v>
      </c>
      <c r="D18" s="5">
        <v>21</v>
      </c>
      <c r="H18" s="1" t="s">
        <v>118</v>
      </c>
      <c r="I18" t="s">
        <v>9</v>
      </c>
      <c r="J18" t="s">
        <v>22</v>
      </c>
      <c r="K18" t="s">
        <v>119</v>
      </c>
    </row>
    <row r="19" spans="3:11" x14ac:dyDescent="0.3">
      <c r="C19" s="2" t="s">
        <v>123</v>
      </c>
      <c r="D19" s="5">
        <v>26</v>
      </c>
      <c r="H19" s="2" t="s">
        <v>11</v>
      </c>
      <c r="I19" s="5">
        <v>47</v>
      </c>
      <c r="J19" s="5">
        <v>7</v>
      </c>
      <c r="K19" s="5">
        <v>54</v>
      </c>
    </row>
    <row r="20" spans="3:11" x14ac:dyDescent="0.3">
      <c r="C20" s="2" t="s">
        <v>124</v>
      </c>
      <c r="D20" s="5">
        <v>20</v>
      </c>
      <c r="H20" s="2" t="s">
        <v>7</v>
      </c>
      <c r="I20" s="5">
        <v>40</v>
      </c>
      <c r="J20" s="5">
        <v>6</v>
      </c>
      <c r="K20" s="5">
        <v>46</v>
      </c>
    </row>
    <row r="21" spans="3:11" x14ac:dyDescent="0.3">
      <c r="C21" s="2" t="s">
        <v>125</v>
      </c>
      <c r="D21" s="5">
        <v>33</v>
      </c>
      <c r="H21" s="2" t="s">
        <v>119</v>
      </c>
      <c r="I21" s="5">
        <v>87</v>
      </c>
      <c r="J21" s="5">
        <v>13</v>
      </c>
      <c r="K21" s="5">
        <v>100</v>
      </c>
    </row>
    <row r="22" spans="3:11" x14ac:dyDescent="0.3">
      <c r="C22" s="2" t="s">
        <v>119</v>
      </c>
      <c r="D22" s="5">
        <v>100</v>
      </c>
    </row>
    <row r="27" spans="3:11" x14ac:dyDescent="0.3">
      <c r="C27" s="8" t="s">
        <v>138</v>
      </c>
    </row>
    <row r="28" spans="3:11" x14ac:dyDescent="0.3">
      <c r="C28" s="1" t="s">
        <v>118</v>
      </c>
      <c r="D28" t="s">
        <v>137</v>
      </c>
    </row>
    <row r="29" spans="3:11" x14ac:dyDescent="0.3">
      <c r="C29" s="2" t="s">
        <v>9</v>
      </c>
      <c r="D29" s="5">
        <v>87</v>
      </c>
    </row>
    <row r="30" spans="3:11" x14ac:dyDescent="0.3">
      <c r="C30" s="2" t="s">
        <v>22</v>
      </c>
      <c r="D30" s="5">
        <v>13</v>
      </c>
    </row>
    <row r="31" spans="3:11" x14ac:dyDescent="0.3">
      <c r="C31" s="2" t="s">
        <v>119</v>
      </c>
      <c r="D31" s="5">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1AA92-D21B-4B80-B25F-E18F3C229C29}">
  <dimension ref="A1"/>
  <sheetViews>
    <sheetView zoomScale="99" zoomScaleNormal="99" workbookViewId="0">
      <selection activeCell="Q37" sqref="Q3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HR_Records</vt:lpstr>
      <vt:lpstr>Pivot Tables</vt:lpstr>
      <vt:lpstr>HR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Ruksana Begam S</cp:lastModifiedBy>
  <dcterms:created xsi:type="dcterms:W3CDTF">2026-07-02T06:43:48Z</dcterms:created>
  <dcterms:modified xsi:type="dcterms:W3CDTF">2026-07-03T06:42:58Z</dcterms:modified>
</cp:coreProperties>
</file>